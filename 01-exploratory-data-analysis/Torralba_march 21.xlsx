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9a47b87c0df91ef2/圖片/文件/Matthew Files/Academics/4th Year 2nd Sem/CATEGORICAL DATA ANALYSIS/"/>
    </mc:Choice>
  </mc:AlternateContent>
  <xr:revisionPtr revIDLastSave="5" documentId="8_{3D9C37BC-525C-4681-8FFD-9417114EA061}" xr6:coauthVersionLast="47" xr6:coauthVersionMax="47" xr10:uidLastSave="{856FE5D1-C7FD-47CE-9A57-305F7514670E}"/>
  <bookViews>
    <workbookView xWindow="-108" yWindow="-108" windowWidth="23256" windowHeight="12456" xr2:uid="{196FBE30-24A2-4151-8C1F-DBBF4C2B2770}"/>
  </bookViews>
  <sheets>
    <sheet name="Overview" sheetId="1" r:id="rId1"/>
    <sheet name="Univariate Raw" sheetId="2" r:id="rId2"/>
    <sheet name="Univariate Clean" sheetId="3" r:id="rId3"/>
    <sheet name="Bivariate Raw" sheetId="4" r:id="rId4"/>
    <sheet name="Bivariate Cleaned" sheetId="5" r:id="rId5"/>
    <sheet name="References" sheetId="6" r:id="rId6"/>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4" i="5" l="1"/>
  <c r="G33" i="5"/>
  <c r="G32" i="5" a="1"/>
  <c r="G32" i="5" s="1"/>
  <c r="C34" i="5"/>
  <c r="C33" i="5"/>
  <c r="C32" i="5"/>
  <c r="C59" i="3"/>
  <c r="C60" i="3"/>
  <c r="C61" i="3"/>
  <c r="C62" i="3"/>
  <c r="C63" i="3"/>
  <c r="C64" i="3"/>
  <c r="C65" i="3"/>
  <c r="C66" i="3"/>
  <c r="C67" i="3"/>
  <c r="C68" i="3"/>
  <c r="C69" i="3"/>
  <c r="C70" i="3"/>
  <c r="C71" i="3"/>
  <c r="C72" i="3"/>
  <c r="C73" i="3"/>
  <c r="C74" i="3"/>
  <c r="C75" i="3"/>
  <c r="C76" i="3"/>
  <c r="C58" i="3"/>
  <c r="C42" i="3"/>
  <c r="C43" i="3" s="1"/>
  <c r="B42" i="3"/>
  <c r="B48" i="3" s="1"/>
  <c r="B41" i="3"/>
  <c r="B47" i="3" s="1"/>
  <c r="C41" i="3"/>
  <c r="C40" i="3"/>
  <c r="B40" i="3"/>
  <c r="C39" i="3"/>
  <c r="B39" i="3"/>
  <c r="C37" i="3"/>
  <c r="B37" i="3"/>
  <c r="C36" i="3"/>
  <c r="B36" i="3"/>
  <c r="C35" i="3"/>
  <c r="B35" i="3"/>
  <c r="C34" i="3"/>
  <c r="B34" i="3"/>
  <c r="C33" i="3"/>
  <c r="B33" i="3"/>
  <c r="C32" i="3"/>
  <c r="B32" i="3"/>
  <c r="C31" i="3"/>
  <c r="B31" i="3"/>
  <c r="C30" i="3"/>
  <c r="B30" i="3"/>
  <c r="B38" i="3" l="1"/>
  <c r="C38" i="3"/>
  <c r="B43" i="3"/>
  <c r="B49" i="3" s="1"/>
  <c r="B52" i="3" l="1"/>
  <c r="B51" i="3"/>
  <c r="B50"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<sst xmlns="http://schemas.openxmlformats.org/spreadsheetml/2006/main" count="492" uniqueCount="259">
  <si>
    <t>EXPLORATORY DATA CLEANING TECHNIQUES</t>
  </si>
  <si>
    <t>Univariate and Bivariate Methods with Listwise and pairwise Deletion techniques</t>
  </si>
  <si>
    <t>What is Exploratory Data Analysis or EDA?</t>
  </si>
  <si>
    <r>
      <t xml:space="preserve">Exploratory Data Analysis is a data examination that is coined by Tukey (1977). This is use to examine datasets before formal statistical testing. One of the preliminary steps of this is </t>
    </r>
    <r>
      <rPr>
        <b/>
        <sz val="11"/>
        <color theme="1"/>
        <rFont val="Calibri"/>
        <family val="2"/>
        <scheme val="minor"/>
      </rPr>
      <t>Data Cleaning.</t>
    </r>
  </si>
  <si>
    <t>What is Data Cleaning?</t>
  </si>
  <si>
    <t>It is a technique to identify and resolve the missing values, outliers, and impossible data entries that would have a significant effect on the results</t>
  </si>
  <si>
    <t xml:space="preserve">Removes the ENTIRE ROW when ANY variables in that case has a missing value. This is simple to apply and can produce a consistent sample size across all analysis. However, it can substantially reduce the sample size and might cause a bias if data is not missing completely in a given row. </t>
  </si>
  <si>
    <t xml:space="preserve">The two missing value methods: </t>
  </si>
  <si>
    <t>Listwise (complete case analysis)</t>
  </si>
  <si>
    <t>Pairwise Deletion (Available Case Analysis)</t>
  </si>
  <si>
    <t xml:space="preserve">Uses ALL available data for each specific calculation. A case is only excluded when a variable is needed for that specific analysis is missing. It Maximizes the sample size, but it may vary to different analysis and may use different sub-sample. The downside of this is, it creates a inconsistent sample size across test. </t>
  </si>
  <si>
    <t>Listwise vs Pairwise - Comparison Table</t>
  </si>
  <si>
    <t>Criteria</t>
  </si>
  <si>
    <t>Listwise Delete</t>
  </si>
  <si>
    <t>Pairwise</t>
  </si>
  <si>
    <t>Number</t>
  </si>
  <si>
    <t>Mechanism</t>
  </si>
  <si>
    <t>Drops the entire row if any value has missing data</t>
  </si>
  <si>
    <t>Uses available data for the specific analysis</t>
  </si>
  <si>
    <t>Sample size</t>
  </si>
  <si>
    <t>Reduces the sample size, consistent sample size for all test</t>
  </si>
  <si>
    <t>It can have a inconsistent number of sample size depending on the statistical analysis</t>
  </si>
  <si>
    <t>Consistency</t>
  </si>
  <si>
    <t>Consistent sample size across analysis</t>
  </si>
  <si>
    <t>Inconsistent sample size, depending on stats analysis</t>
  </si>
  <si>
    <t>Best when</t>
  </si>
  <si>
    <t>Data is &lt;5% missing</t>
  </si>
  <si>
    <t>Data is &gt;5%</t>
  </si>
  <si>
    <t>Main risk</t>
  </si>
  <si>
    <t>Bias and less power due to the deletion of sample size</t>
  </si>
  <si>
    <t>Inconsistent correlation matrices</t>
  </si>
  <si>
    <t xml:space="preserve">Univariate Data - Example </t>
  </si>
  <si>
    <t>Raw Dataset (Before Cleaning)</t>
  </si>
  <si>
    <t>Example: A teacher recorded an exam scores (0-100) for 20 students. The raw has 3 missing sscores and 1 impossible score (S20 = 115)</t>
  </si>
  <si>
    <t>Objective:</t>
  </si>
  <si>
    <t>Apply EDA to understand distributon and plan appopriate data cleaning techniques</t>
  </si>
  <si>
    <t>Exam Scores (Raw Data)</t>
  </si>
  <si>
    <t>S-ID</t>
  </si>
  <si>
    <t>Exam Score</t>
  </si>
  <si>
    <t>Status</t>
  </si>
  <si>
    <t>Notes/Issues</t>
  </si>
  <si>
    <t>S01</t>
  </si>
  <si>
    <t>Complete</t>
  </si>
  <si>
    <t>S02</t>
  </si>
  <si>
    <t>S03</t>
  </si>
  <si>
    <t>MISSING</t>
  </si>
  <si>
    <t>Missing value — must decide: listwise deletion OR median imputation</t>
  </si>
  <si>
    <t>S04</t>
  </si>
  <si>
    <t>S05</t>
  </si>
  <si>
    <t>S06</t>
  </si>
  <si>
    <t>S07</t>
  </si>
  <si>
    <t>S08</t>
  </si>
  <si>
    <t>S09</t>
  </si>
  <si>
    <t>S10</t>
  </si>
  <si>
    <t>S11</t>
  </si>
  <si>
    <t>S12</t>
  </si>
  <si>
    <t>S13</t>
  </si>
  <si>
    <t>S14</t>
  </si>
  <si>
    <t>S15</t>
  </si>
  <si>
    <t>S16</t>
  </si>
  <si>
    <t>S17</t>
  </si>
  <si>
    <t>S18</t>
  </si>
  <si>
    <t>S19</t>
  </si>
  <si>
    <t>S20</t>
  </si>
  <si>
    <t>OUTLIER</t>
  </si>
  <si>
    <t>Score=115 exceeds maximum possible (100) — likely data entry error; remove before analysis</t>
  </si>
  <si>
    <t>Legend:</t>
  </si>
  <si>
    <t>Missing value</t>
  </si>
  <si>
    <t xml:space="preserve">Orange </t>
  </si>
  <si>
    <t>Yellow</t>
  </si>
  <si>
    <t>Outlier</t>
  </si>
  <si>
    <t>Steps for EDA on Univariate Data</t>
  </si>
  <si>
    <t>Step 1: Count Missing Values</t>
  </si>
  <si>
    <t>Step 2: Identify Impossible values or Outliers</t>
  </si>
  <si>
    <t>Step 3: Compute the descriptive statistics</t>
  </si>
  <si>
    <t xml:space="preserve">Steps </t>
  </si>
  <si>
    <t>Action</t>
  </si>
  <si>
    <t xml:space="preserve">Step 5: Compute for z score </t>
  </si>
  <si>
    <t>Step 6: Decide on missing strategy</t>
  </si>
  <si>
    <t>Check for the number of missing values to decide whether listwise or pairwise will be use for data cleaning</t>
  </si>
  <si>
    <t xml:space="preserve">Flag values outside the logical range (0-100). </t>
  </si>
  <si>
    <t>Compute for mean, median, SD. If Mean ≠ Median</t>
  </si>
  <si>
    <t>Compute for the Q1 - Q1.5 and Q3 + 1..5 to flag outlier</t>
  </si>
  <si>
    <t>Compute for the extreme outlier</t>
  </si>
  <si>
    <t>Decide what data cleaing techniques will be use (listwise or pairwise)</t>
  </si>
  <si>
    <t>S20 - 115 is removed since it is an impossible score. While three missing values are being handled using LISTWISE (dropped) and Median Imputation to fill the missing values. Hence, sample size is 19</t>
  </si>
  <si>
    <t>Univariate Clean Data</t>
  </si>
  <si>
    <t>Clean Data Table</t>
  </si>
  <si>
    <t>Raw Score</t>
  </si>
  <si>
    <t>Clean Score
(Imputed)</t>
  </si>
  <si>
    <t>In Listwise?</t>
  </si>
  <si>
    <t>Treatment</t>
  </si>
  <si>
    <t>YES</t>
  </si>
  <si>
    <t>Complete — no action needed</t>
  </si>
  <si>
    <t>NO</t>
  </si>
  <si>
    <t>MISSING → Median imputed (79); excluded from listwise set</t>
  </si>
  <si>
    <t>REMOVED</t>
  </si>
  <si>
    <t>OUTLIER: score=115&gt;100 — removed; data entry error suspected</t>
  </si>
  <si>
    <t>Helper Data Columns</t>
  </si>
  <si>
    <t>Listwise</t>
  </si>
  <si>
    <t>Listwise (n=16)</t>
  </si>
  <si>
    <t>Pairwise (n=19)</t>
  </si>
  <si>
    <t>Descriptive Statistics - Listwise (n=16) vs Pairwise (n=19)</t>
  </si>
  <si>
    <t>Statistic</t>
  </si>
  <si>
    <t>Count (N)</t>
  </si>
  <si>
    <t>Sum</t>
  </si>
  <si>
    <t>Mean</t>
  </si>
  <si>
    <t>Median</t>
  </si>
  <si>
    <t>Std Deviation (s)</t>
  </si>
  <si>
    <t>Variance (s²)</t>
  </si>
  <si>
    <t>Minimum</t>
  </si>
  <si>
    <t>Maximum</t>
  </si>
  <si>
    <t>Range</t>
  </si>
  <si>
    <t>Skewness</t>
  </si>
  <si>
    <t>Kurtosis</t>
  </si>
  <si>
    <t>Q1 (25th %ile)</t>
  </si>
  <si>
    <t>Q3 (75th %ile)</t>
  </si>
  <si>
    <t>IQR</t>
  </si>
  <si>
    <t>Component</t>
  </si>
  <si>
    <t>Value</t>
  </si>
  <si>
    <t>Meaning</t>
  </si>
  <si>
    <t>Step 4: Apply IQR fence rule technique</t>
  </si>
  <si>
    <t>Q1 (25th percentile)</t>
  </si>
  <si>
    <t>Q3 (75th percentile)</t>
  </si>
  <si>
    <t>IQR = Q3 – Q1</t>
  </si>
  <si>
    <t>Lower Fence (Q1–1.5×IQR)</t>
  </si>
  <si>
    <t>Upper Fence (Q3+1.5×IQR)</t>
  </si>
  <si>
    <t>Upper Extreme (Q3+3×IQR)</t>
  </si>
  <si>
    <t>Is S20=115 above Upper Fence?</t>
  </si>
  <si>
    <t>Outlier Detection for listwise (n=16)</t>
  </si>
  <si>
    <t>YES -Outlier</t>
  </si>
  <si>
    <t>25% of scores falls on this region</t>
  </si>
  <si>
    <t>75% of scores falls on this region</t>
  </si>
  <si>
    <t>Spread of the data in middle 50%</t>
  </si>
  <si>
    <t>Mild outlier boundary (lower)</t>
  </si>
  <si>
    <t>Mild outlier boundary (upper)</t>
  </si>
  <si>
    <t>Extreme outlier boundary (upper)</t>
  </si>
  <si>
    <t>Confirms that S20 is a significant outlier</t>
  </si>
  <si>
    <t>Z Score Test (pairwise n=19)</t>
  </si>
  <si>
    <t>Score</t>
  </si>
  <si>
    <t>z-score</t>
  </si>
  <si>
    <t>remarks</t>
  </si>
  <si>
    <t>OK</t>
  </si>
  <si>
    <t xml:space="preserve">Rule: z = (X -mean)/SD. Z &gt; 2.0 = mild outlier; z &gt; 3.0 = extreme outlier. </t>
  </si>
  <si>
    <t>Bivariate Data - Raw Dataset (Before Cleaning)</t>
  </si>
  <si>
    <t xml:space="preserve">Example: </t>
  </si>
  <si>
    <t>Same students but study hours (X) and Exam Score (Y) are being use to examine their relationship. Some students have one or both values missing. This result into a missing pairs that require listwise or pairwise treatment</t>
  </si>
  <si>
    <t>Raw Bivariate Data Table</t>
  </si>
  <si>
    <t>Study Hours (X)</t>
  </si>
  <si>
    <t>Exam Score (Y)</t>
  </si>
  <si>
    <t>Pair Status</t>
  </si>
  <si>
    <t>Issues / Notes</t>
  </si>
  <si>
    <t>Score missing</t>
  </si>
  <si>
    <t>Y missing — pairwise: this pair excluded from corr. only</t>
  </si>
  <si>
    <t>Hours missing</t>
  </si>
  <si>
    <t>X missing — pairwise: this pair excluded from corr. only</t>
  </si>
  <si>
    <t>Both missing</t>
  </si>
  <si>
    <t>Listwise: row dropped. Pairwise: excluded from ALL analyses</t>
  </si>
  <si>
    <t>Outlier (Y&gt;100)</t>
  </si>
  <si>
    <t>Y=115 impossible — removed regardless of method</t>
  </si>
  <si>
    <t>Methods in handling missing pairs</t>
  </si>
  <si>
    <t>Case</t>
  </si>
  <si>
    <t>Listwise Treatment</t>
  </si>
  <si>
    <t>Pairwise Treatment</t>
  </si>
  <si>
    <t>S03 — Y missing</t>
  </si>
  <si>
    <t>Entire row excluded from all analyses</t>
  </si>
  <si>
    <t>Excluded from corr. &amp; Y-analyses; X used for X-only stats</t>
  </si>
  <si>
    <t>S07 — X missing</t>
  </si>
  <si>
    <t>Excluded from corr. &amp; X-analyses; Y used for Y-only stats</t>
  </si>
  <si>
    <t>S13 — Both missing</t>
  </si>
  <si>
    <t>Entire row excluded</t>
  </si>
  <si>
    <t>Excluded from ALL analyses — no data available</t>
  </si>
  <si>
    <t>S20 — Y outlier</t>
  </si>
  <si>
    <t>Removed (data error, not missing)</t>
  </si>
  <si>
    <t>Removed from all analyses (not a missing data issue)</t>
  </si>
  <si>
    <t>Usable N for r</t>
  </si>
  <si>
    <t>16 complete pairs only</t>
  </si>
  <si>
    <t>16 complete pairs for corr. (same here; S03/S07 contribute to univariate only)</t>
  </si>
  <si>
    <t>Bivariate Data Cleaning - Correlation Pearson Analysis: Listwise vs Pairwise</t>
  </si>
  <si>
    <t>Goal: Pearson r is computed for both methods. For this example the clean data for both methods are presented side by side to illustrate how listwise vs pairwise delteion can affect the correlation value of the dataset</t>
  </si>
  <si>
    <t>Notes</t>
  </si>
  <si>
    <t>Treatment Note</t>
  </si>
  <si>
    <t>Used in corr.</t>
  </si>
  <si>
    <t>Y missing — excl. from corr.</t>
  </si>
  <si>
    <t>X missing — excl. from corr.</t>
  </si>
  <si>
    <t>Both missing — excluded</t>
  </si>
  <si>
    <t>Outlier — removed</t>
  </si>
  <si>
    <t>Pairwise (n=19) - full set; blanks retained</t>
  </si>
  <si>
    <t>Dataset Table (Listwise vs Pairwise)</t>
  </si>
  <si>
    <t>Listwise results</t>
  </si>
  <si>
    <t>Value/Interpretation</t>
  </si>
  <si>
    <t>n</t>
  </si>
  <si>
    <t>Pearson r value</t>
  </si>
  <si>
    <t>r^2</t>
  </si>
  <si>
    <t>Strength of correlation</t>
  </si>
  <si>
    <t>Total samples</t>
  </si>
  <si>
    <t>Value of pearson r correlation</t>
  </si>
  <si>
    <t>Strong Positive Correlation</t>
  </si>
  <si>
    <t>Implication of Pearson r value</t>
  </si>
  <si>
    <t>Pairwise Result</t>
  </si>
  <si>
    <t>Strong</t>
  </si>
  <si>
    <t>Both use complete pairs for pearon r value</t>
  </si>
  <si>
    <t>The Y value variability explained by X</t>
  </si>
  <si>
    <t>Pearson r Interpretation Table</t>
  </si>
  <si>
    <t>Pearson r Range</t>
  </si>
  <si>
    <t xml:space="preserve">Strength </t>
  </si>
  <si>
    <t>Implication for the Example</t>
  </si>
  <si>
    <t>r ≥ +0.70</t>
  </si>
  <si>
    <t>+0.40 to +0.69</t>
  </si>
  <si>
    <t>+0.10 to +0.39</t>
  </si>
  <si>
    <t>–0.10 to +0.10</t>
  </si>
  <si>
    <t>–0.40 to –0.69</t>
  </si>
  <si>
    <t>r ≤ –0.70</t>
  </si>
  <si>
    <t>Strong Positive</t>
  </si>
  <si>
    <t>Moderate Positive</t>
  </si>
  <si>
    <t>Weak Positive</t>
  </si>
  <si>
    <t>Negligible</t>
  </si>
  <si>
    <t>Moderate Negative</t>
  </si>
  <si>
    <t>Strong Negative</t>
  </si>
  <si>
    <t>More study hours → substantially higher scores</t>
  </si>
  <si>
    <t>Moderate tendency; other factors also play a role</t>
  </si>
  <si>
    <t>Slight tendency; relationship barely detectable</t>
  </si>
  <si>
    <t>No meaningful linear relationship</t>
  </si>
  <si>
    <t>As X increases, Y tends to decrease moderately</t>
  </si>
  <si>
    <t>As X increases, Y decreases substantially</t>
  </si>
  <si>
    <t>Decision Guide: Listwise vs pairwise for Bivariate Data</t>
  </si>
  <si>
    <t xml:space="preserve">Missing data is ≤5% of total N </t>
  </si>
  <si>
    <t>Data is Missing Completely at Random (MCAR)</t>
  </si>
  <si>
    <t>You need a consistent N across ALL statistical tests in your study</t>
  </si>
  <si>
    <t>Simplicity and reproducibility are priorities</t>
  </si>
  <si>
    <t>You are reporting a single correlation or regression</t>
  </si>
  <si>
    <t>You want to preserve statistical power for each individual analysis</t>
  </si>
  <si>
    <t>Different analyses naturally use different variable subsets</t>
  </si>
  <si>
    <t>You are computing a correlation matrix (Excel CORREL() skips blanks naturally)</t>
  </si>
  <si>
    <t>Sample size is small and listwise would make N dangerously low</t>
  </si>
  <si>
    <t>Missing data is &gt;5% or MAR (Missing At Random)</t>
  </si>
  <si>
    <t>REFERENCES (APA 7th Edition)</t>
  </si>
  <si>
    <t>All 7 sources below are real, peer-reviewed textbooks available in academic libraries and major databases (Google Scholar, JSTOR, university libraries). Citations follow APA 7th edition format.</t>
  </si>
  <si>
    <t>CORE REFERENCES</t>
  </si>
  <si>
    <t>1</t>
  </si>
  <si>
    <t>Tukey, J. W. (1977). Exploratory data analysis. Addison-Wesley.
   Used for: Definition of EDA; IQR fence rule (Tukey's fences: Lower = Q1–1.5×IQR; Upper = Q3+1.5×IQR). Referenced in: Cover sheet, Univariate Clean Sheet Section C.</t>
  </si>
  <si>
    <t>2</t>
  </si>
  <si>
    <t>Cohen, J. (1988). Statistical power analysis for the behavioral sciences (2nd ed.). Lawrence Erlbaum Associates.
   Used for: Effect size benchmarks for Pearson r (|r|≥.70=large; .40–.69=medium; &lt;.40=small). Referenced in: Bivariate Clean Sheet Sections B, C.</t>
  </si>
  <si>
    <t>3</t>
  </si>
  <si>
    <t>Field, A. (2018). Discovering statistics using IBM SPSS statistics (5th ed.). SAGE Publications.
   Used for: Z-score outlier rule (|Z|&gt;2.0 = mild outlier; |Z|&gt;3.0 = extreme outlier). Referenced in: Univariate Clean Sheet Section D.</t>
  </si>
  <si>
    <t>4</t>
  </si>
  <si>
    <t>Hair, J. F., Black, W. C., Babin, B. J., &amp; Anderson, R. E. (2019). Multivariate data analysis (8th ed.). Cengage Learning.
   Used for: Pairwise deletion definition; missing data thresholds (&gt;5% = concern). Referenced in: Cover sheet, Bivariate Raw Sheet, Bivariate Clean Section D.</t>
  </si>
  <si>
    <t>5</t>
  </si>
  <si>
    <t>Little, R. J. A., &amp; Rubin, D. B. (2002). Statistical analysis with missing data (2nd ed.). Wiley.
   Used for: MCAR/MAR/MNAR taxonomy; listwise and pairwise deletion assumptions and limitations. Referenced in: Cover sheet, Univariate Clean Section E, Bivariate Clean Section D.</t>
  </si>
  <si>
    <t>6</t>
  </si>
  <si>
    <t>Tabachnick, B. G., &amp; Fidell, L. S. (2019). Using multivariate statistics (7th ed.). Pearson.
   Used for: Practical thresholds for missing data (&lt;5% = listwise acceptable); data screening procedures. Referenced in: Cover sheet, Univariate Raw Sheet, Bivariate Clean Section D.</t>
  </si>
  <si>
    <t>7</t>
  </si>
  <si>
    <t>Pallant, J. (2020). SPSS survival manual: A step-by-step guide to data analysis using IBM SPSS (7th ed.). McGraw-Hill Education.
   Used for: General guidance on descriptive statistics, Pearson r, and practical data cleaning steps. Supports overall workbook methodology.</t>
  </si>
  <si>
    <t>METHODOLOGICAL NOTES</t>
  </si>
  <si>
    <t>Note 1: Excel Descriptive Statistics: All statistics in Sheet 2 use built-in Excel functions (AVERAGE, MEDIAN, STDEV, QUARTILE, SKEW, KURT, CORREL). These are equivalent to those produced by Excel's Data Analysis ToolPak &gt; Descriptive Statistics feature.</t>
  </si>
  <si>
    <t>Note 2: Missing Data Assumptions: Listwise and pairwise deletion are both valid ONLY under MCAR or MAR. For MNAR data, multiple imputation (MI) using software like SPSS, R (mice package), or Stata is required. See Little &amp; Rubin (2002) for a full treatment of these mechanisms.</t>
  </si>
  <si>
    <t>Note 3: IQR Rule Origin: The 1.5×IQR fence is credited to Tukey (1977). The 3×IQR fence for extreme outliers is also from Tukey. Field (2018) adds the Z-score supplement (|Z|&gt;2 or &gt;3) as a complementary check.</t>
  </si>
  <si>
    <t>Pearson r Correlation Results</t>
  </si>
  <si>
    <t>Total samples (Blanks are excluded per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</si>
</sst>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1"/>
      <color rgb="FF00000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5" tint="0.39997558519241921"/>
        <bgColor indexed="64"/>
      </patternFill>
    </fill>
    <fill>
      <patternFill patternType="solid">
        <fgColor theme="5" tint="0.59999389629810485"/>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9">
    <xf numFmtId="0" fontId="0" fillId="0" borderId="0" xfId="0"/>
    <xf numFmtId="0" fontId="0" fillId="0" borderId="0" xfId="0" applyAlignment="1">
      <alignment horizontal="center"/>
    </xf>
    <xf numFmtId="0" fontId="0" fillId="0" borderId="0" xfId="0" applyAlignment="1">
      <alignment horizontal="center" vertical="center" wrapText="1"/>
    </xf>
    <xf numFmtId="0" fontId="0" fillId="0" borderId="0" xfId="0"/>
    <xf numFmtId="0" fontId="0" fillId="0" borderId="0" xfId="0" applyAlignment="1">
      <alignment vertical="center" wrapText="1"/>
    </xf>
    <xf numFmtId="0" fontId="0" fillId="0" borderId="0" xfId="0" applyAlignment="1"/>
    <xf numFmtId="0" fontId="0" fillId="0" borderId="1" xfId="0" applyBorder="1" applyAlignment="1">
      <alignment horizontal="center"/>
    </xf>
    <xf numFmtId="0" fontId="0" fillId="0" borderId="1" xfId="0" applyBorder="1"/>
    <xf numFmtId="0" fontId="0" fillId="0" borderId="1" xfId="0" applyBorder="1"/>
    <xf numFmtId="0" fontId="0" fillId="0" borderId="1" xfId="0" applyBorder="1" applyAlignment="1">
      <alignment vertical="center" wrapText="1"/>
    </xf>
    <xf numFmtId="0" fontId="0" fillId="0" borderId="1" xfId="0" applyBorder="1" applyAlignment="1">
      <alignment horizontal="left" wrapText="1"/>
    </xf>
    <xf numFmtId="0" fontId="0" fillId="0" borderId="1" xfId="0" applyBorder="1" applyAlignment="1">
      <alignment horizontal="left"/>
    </xf>
    <xf numFmtId="0" fontId="0" fillId="0" borderId="1" xfId="0" applyBorder="1" applyAlignment="1">
      <alignment horizontal="left" vertical="center" wrapText="1"/>
    </xf>
    <xf numFmtId="0" fontId="1" fillId="0" borderId="1" xfId="0" applyFont="1" applyBorder="1" applyAlignment="1">
      <alignment horizontal="left"/>
    </xf>
    <xf numFmtId="0" fontId="1" fillId="0" borderId="1" xfId="0" applyFont="1" applyBorder="1"/>
    <xf numFmtId="0" fontId="1" fillId="0" borderId="2" xfId="0" applyFont="1" applyBorder="1"/>
    <xf numFmtId="0" fontId="0" fillId="0" borderId="0" xfId="0" applyBorder="1"/>
    <xf numFmtId="0" fontId="1" fillId="0" borderId="1" xfId="0" applyFont="1" applyBorder="1" applyAlignment="1">
      <alignment horizontal="center"/>
    </xf>
    <xf numFmtId="0" fontId="0" fillId="0" borderId="0" xfId="0" applyAlignment="1">
      <alignment horizontal="left" vertical="center" indent="1"/>
    </xf>
    <xf numFmtId="0" fontId="0" fillId="0" borderId="1" xfId="0" applyBorder="1" applyAlignment="1">
      <alignment horizontal="center"/>
    </xf>
    <xf numFmtId="0" fontId="0" fillId="0" borderId="3" xfId="0" applyBorder="1"/>
    <xf numFmtId="0" fontId="0" fillId="0" borderId="0"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2" borderId="1" xfId="0" applyFill="1" applyBorder="1"/>
    <xf numFmtId="0" fontId="0" fillId="3" borderId="1" xfId="0" applyFill="1" applyBorder="1"/>
    <xf numFmtId="0" fontId="1" fillId="0" borderId="1" xfId="0" applyFont="1" applyBorder="1"/>
    <xf numFmtId="0" fontId="1" fillId="2" borderId="1" xfId="0" applyFont="1" applyFill="1" applyBorder="1"/>
    <xf numFmtId="0" fontId="1" fillId="4" borderId="1" xfId="0" applyFont="1" applyFill="1" applyBorder="1"/>
    <xf numFmtId="2" fontId="0" fillId="0" borderId="1" xfId="0" applyNumberFormat="1" applyBorder="1"/>
    <xf numFmtId="0" fontId="0" fillId="0" borderId="1" xfId="0" applyBorder="1" applyAlignment="1">
      <alignment horizontal="right"/>
    </xf>
    <xf numFmtId="0" fontId="0" fillId="0" borderId="0" xfId="0" applyAlignment="1">
      <alignment vertical="center"/>
    </xf>
    <xf numFmtId="0" fontId="0" fillId="4" borderId="1" xfId="0" applyFill="1" applyBorder="1"/>
    <xf numFmtId="0" fontId="2" fillId="0" borderId="1" xfId="0" applyFont="1" applyBorder="1"/>
    <xf numFmtId="0" fontId="1" fillId="0" borderId="0" xfId="0" applyFont="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1" fillId="0" borderId="5"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1</xdr:col>
      <xdr:colOff>22860</xdr:colOff>
      <xdr:row>33</xdr:row>
      <xdr:rowOff>19050</xdr:rowOff>
    </xdr:from>
    <xdr:ext cx="65" cy="172227"/>
    <xdr:sp macro="" textlink="">
      <xdr:nvSpPr>
        <xdr:cNvPr id="2" name="TextBox 1">
          <a:extLst>
            <a:ext uri="{FF2B5EF4-FFF2-40B4-BE49-F238E27FC236}">
              <a16:creationId xmlns:a16="http://schemas.microsoft.com/office/drawing/2014/main" id="{3E51E7C2-79F6-939F-1CC9-3F254B13BF6A}"/>
            </a:ext>
          </a:extLst>
        </xdr:cNvPr>
        <xdr:cNvSpPr txBox="1"/>
      </xdr:nvSpPr>
      <xdr:spPr>
        <a:xfrm>
          <a:off x="632460" y="639699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PH" sz="1100"/>
        </a:p>
      </xdr:txBody>
    </xdr:sp>
    <xdr:clientData/>
  </xdr:oneCellAnchor>
  <xdr:oneCellAnchor>
    <xdr:from>
      <xdr:col>5</xdr:col>
      <xdr:colOff>22860</xdr:colOff>
      <xdr:row>33</xdr:row>
      <xdr:rowOff>19050</xdr:rowOff>
    </xdr:from>
    <xdr:ext cx="65" cy="172227"/>
    <xdr:sp macro="" textlink="">
      <xdr:nvSpPr>
        <xdr:cNvPr id="3" name="TextBox 2">
          <a:extLst>
            <a:ext uri="{FF2B5EF4-FFF2-40B4-BE49-F238E27FC236}">
              <a16:creationId xmlns:a16="http://schemas.microsoft.com/office/drawing/2014/main" id="{2AE40D29-D32F-48CB-9003-8205E00F7CB5}"/>
            </a:ext>
          </a:extLst>
        </xdr:cNvPr>
        <xdr:cNvSpPr txBox="1"/>
      </xdr:nvSpPr>
      <xdr:spPr>
        <a:xfrm>
          <a:off x="632460" y="639699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PH"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4B5E9-ECD6-49A0-8254-8D00C0F0C784}">
  <dimension ref="A1:D40"/>
  <sheetViews>
    <sheetView tabSelected="1" zoomScale="65" workbookViewId="0">
      <selection activeCell="H15" sqref="H15"/>
    </sheetView>
  </sheetViews>
  <sheetFormatPr defaultRowHeight="14.4" x14ac:dyDescent="0.3"/>
  <cols>
    <col min="1" max="1" width="35.77734375" bestFit="1" customWidth="1"/>
    <col min="2" max="2" width="15.88671875" bestFit="1" customWidth="1"/>
    <col min="3" max="3" width="49.6640625" bestFit="1" customWidth="1"/>
    <col min="4" max="4" width="83.88671875" customWidth="1"/>
  </cols>
  <sheetData>
    <row r="1" spans="1:4" x14ac:dyDescent="0.3">
      <c r="A1" s="35" t="s">
        <v>0</v>
      </c>
      <c r="B1" s="35"/>
      <c r="C1" s="35"/>
      <c r="D1" s="35"/>
    </row>
    <row r="2" spans="1:4" x14ac:dyDescent="0.3">
      <c r="A2" s="35" t="s">
        <v>1</v>
      </c>
      <c r="B2" s="35"/>
      <c r="C2" s="35"/>
      <c r="D2" s="35"/>
    </row>
    <row r="4" spans="1:4" x14ac:dyDescent="0.3">
      <c r="A4" s="13" t="s">
        <v>2</v>
      </c>
      <c r="B4" s="13"/>
      <c r="C4" s="13"/>
      <c r="D4" s="13"/>
    </row>
    <row r="5" spans="1:4" ht="36" customHeight="1" x14ac:dyDescent="0.3">
      <c r="A5" s="12" t="s">
        <v>3</v>
      </c>
      <c r="B5" s="12"/>
      <c r="C5" s="12"/>
      <c r="D5" s="12"/>
    </row>
    <row r="7" spans="1:4" x14ac:dyDescent="0.3">
      <c r="A7" s="14" t="s">
        <v>4</v>
      </c>
      <c r="B7" s="14"/>
      <c r="C7" s="14"/>
      <c r="D7" s="14"/>
    </row>
    <row r="8" spans="1:4" x14ac:dyDescent="0.3">
      <c r="A8" s="10" t="s">
        <v>5</v>
      </c>
      <c r="B8" s="10"/>
      <c r="C8" s="10"/>
      <c r="D8" s="10"/>
    </row>
    <row r="10" spans="1:4" x14ac:dyDescent="0.3">
      <c r="A10" s="15" t="s">
        <v>7</v>
      </c>
      <c r="B10" s="15"/>
      <c r="C10" s="15"/>
      <c r="D10" s="15"/>
    </row>
    <row r="11" spans="1:4" x14ac:dyDescent="0.3">
      <c r="A11" s="14" t="s">
        <v>8</v>
      </c>
      <c r="B11" s="14"/>
      <c r="C11" s="14"/>
      <c r="D11" s="14"/>
    </row>
    <row r="12" spans="1:4" ht="54" customHeight="1" x14ac:dyDescent="0.3">
      <c r="A12" s="9" t="s">
        <v>6</v>
      </c>
      <c r="B12" s="9"/>
      <c r="C12" s="9"/>
      <c r="D12" s="9"/>
    </row>
    <row r="14" spans="1:4" x14ac:dyDescent="0.3">
      <c r="A14" s="14" t="s">
        <v>9</v>
      </c>
      <c r="B14" s="14"/>
      <c r="C14" s="14"/>
      <c r="D14" s="14"/>
    </row>
    <row r="15" spans="1:4" ht="60" customHeight="1" x14ac:dyDescent="0.3">
      <c r="A15" s="9" t="s">
        <v>10</v>
      </c>
      <c r="B15" s="9"/>
      <c r="C15" s="9"/>
      <c r="D15" s="9"/>
    </row>
    <row r="16" spans="1:4" x14ac:dyDescent="0.3">
      <c r="A16" s="16"/>
      <c r="B16" s="16"/>
      <c r="C16" s="16"/>
      <c r="D16" s="16"/>
    </row>
    <row r="17" spans="1:4" x14ac:dyDescent="0.3">
      <c r="A17" s="17" t="s">
        <v>11</v>
      </c>
      <c r="B17" s="17"/>
      <c r="C17" s="17"/>
      <c r="D17" s="17"/>
    </row>
    <row r="18" spans="1:4" x14ac:dyDescent="0.3">
      <c r="A18" s="27" t="s">
        <v>15</v>
      </c>
      <c r="B18" s="27" t="s">
        <v>12</v>
      </c>
      <c r="C18" s="27" t="s">
        <v>13</v>
      </c>
      <c r="D18" s="27" t="s">
        <v>14</v>
      </c>
    </row>
    <row r="19" spans="1:4" x14ac:dyDescent="0.3">
      <c r="A19" s="7">
        <v>1</v>
      </c>
      <c r="B19" s="7" t="s">
        <v>16</v>
      </c>
      <c r="C19" s="7" t="s">
        <v>17</v>
      </c>
      <c r="D19" s="7" t="s">
        <v>18</v>
      </c>
    </row>
    <row r="20" spans="1:4" x14ac:dyDescent="0.3">
      <c r="A20" s="7">
        <v>2</v>
      </c>
      <c r="B20" s="7" t="s">
        <v>19</v>
      </c>
      <c r="C20" s="7" t="s">
        <v>20</v>
      </c>
      <c r="D20" s="7" t="s">
        <v>21</v>
      </c>
    </row>
    <row r="21" spans="1:4" x14ac:dyDescent="0.3">
      <c r="A21" s="7">
        <v>3</v>
      </c>
      <c r="B21" s="7" t="s">
        <v>22</v>
      </c>
      <c r="C21" s="7" t="s">
        <v>23</v>
      </c>
      <c r="D21" s="7" t="s">
        <v>24</v>
      </c>
    </row>
    <row r="22" spans="1:4" x14ac:dyDescent="0.3">
      <c r="A22" s="7">
        <v>4</v>
      </c>
      <c r="B22" s="7" t="s">
        <v>25</v>
      </c>
      <c r="C22" s="7" t="s">
        <v>26</v>
      </c>
      <c r="D22" s="7" t="s">
        <v>27</v>
      </c>
    </row>
    <row r="23" spans="1:4" x14ac:dyDescent="0.3">
      <c r="A23" s="7">
        <v>5</v>
      </c>
      <c r="B23" s="7" t="s">
        <v>28</v>
      </c>
      <c r="C23" s="7" t="s">
        <v>29</v>
      </c>
      <c r="D23" s="7" t="s">
        <v>30</v>
      </c>
    </row>
    <row r="28" spans="1:4" x14ac:dyDescent="0.3">
      <c r="A28" s="18"/>
    </row>
    <row r="29" spans="1:4" x14ac:dyDescent="0.3">
      <c r="A29" s="18"/>
    </row>
    <row r="30" spans="1:4" x14ac:dyDescent="0.3">
      <c r="A30" s="18"/>
    </row>
    <row r="31" spans="1:4" x14ac:dyDescent="0.3">
      <c r="A31" s="18"/>
    </row>
    <row r="32" spans="1:4" x14ac:dyDescent="0.3">
      <c r="A32" s="18"/>
    </row>
    <row r="33" spans="1:1" x14ac:dyDescent="0.3">
      <c r="A33" s="18"/>
    </row>
    <row r="34" spans="1:1" x14ac:dyDescent="0.3">
      <c r="A34" s="18"/>
    </row>
    <row r="35" spans="1:1" x14ac:dyDescent="0.3">
      <c r="A35" s="18"/>
    </row>
    <row r="36" spans="1:1" x14ac:dyDescent="0.3">
      <c r="A36" s="18"/>
    </row>
    <row r="37" spans="1:1" x14ac:dyDescent="0.3">
      <c r="A37" s="18"/>
    </row>
    <row r="38" spans="1:1" x14ac:dyDescent="0.3">
      <c r="A38" s="18"/>
    </row>
    <row r="39" spans="1:1" x14ac:dyDescent="0.3">
      <c r="A39" s="18"/>
    </row>
    <row r="40" spans="1:1" x14ac:dyDescent="0.3">
      <c r="A40" s="18"/>
    </row>
  </sheetData>
  <mergeCells count="12">
    <mergeCell ref="A15:D15"/>
    <mergeCell ref="A17:D17"/>
    <mergeCell ref="A14:D14"/>
    <mergeCell ref="A7:D7"/>
    <mergeCell ref="A4:D4"/>
    <mergeCell ref="A10:D10"/>
    <mergeCell ref="A1:D1"/>
    <mergeCell ref="A2:D2"/>
    <mergeCell ref="A5:D5"/>
    <mergeCell ref="A8:D8"/>
    <mergeCell ref="A12:D12"/>
    <mergeCell ref="A11:D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622EA-A900-4AF9-B9D1-F8A5ACA2FF0F}">
  <dimension ref="A1:E42"/>
  <sheetViews>
    <sheetView topLeftCell="A19" workbookViewId="0">
      <selection activeCell="A31" sqref="A31:B33"/>
    </sheetView>
  </sheetViews>
  <sheetFormatPr defaultRowHeight="14.4" x14ac:dyDescent="0.3"/>
  <cols>
    <col min="1" max="1" width="37.5546875" bestFit="1" customWidth="1"/>
    <col min="2" max="2" width="11.77734375" bestFit="1" customWidth="1"/>
    <col min="4" max="4" width="78.33203125" bestFit="1" customWidth="1"/>
    <col min="5" max="5" width="27.88671875" style="16" customWidth="1"/>
  </cols>
  <sheetData>
    <row r="1" spans="1:5" x14ac:dyDescent="0.3">
      <c r="A1" s="1" t="s">
        <v>31</v>
      </c>
      <c r="B1" s="1"/>
      <c r="C1" s="1"/>
      <c r="D1" s="1"/>
      <c r="E1" s="1"/>
    </row>
    <row r="2" spans="1:5" x14ac:dyDescent="0.3">
      <c r="A2" s="3" t="s">
        <v>32</v>
      </c>
      <c r="B2" s="3"/>
      <c r="C2" s="3"/>
      <c r="D2" s="3"/>
      <c r="E2" s="3"/>
    </row>
    <row r="3" spans="1:5" ht="64.2" customHeight="1" x14ac:dyDescent="0.3">
      <c r="A3" s="4" t="s">
        <v>33</v>
      </c>
      <c r="B3" s="4"/>
      <c r="C3" s="4"/>
      <c r="D3" s="4"/>
      <c r="E3" s="4"/>
    </row>
    <row r="4" spans="1:5" x14ac:dyDescent="0.3">
      <c r="E4"/>
    </row>
    <row r="5" spans="1:5" x14ac:dyDescent="0.3">
      <c r="A5" t="s">
        <v>34</v>
      </c>
      <c r="E5"/>
    </row>
    <row r="6" spans="1:5" x14ac:dyDescent="0.3">
      <c r="A6" s="3" t="s">
        <v>35</v>
      </c>
      <c r="B6" s="3"/>
      <c r="C6" s="3"/>
      <c r="D6" s="3"/>
      <c r="E6" s="3"/>
    </row>
    <row r="7" spans="1:5" x14ac:dyDescent="0.3">
      <c r="E7"/>
    </row>
    <row r="8" spans="1:5" x14ac:dyDescent="0.3">
      <c r="A8" s="22" t="s">
        <v>36</v>
      </c>
      <c r="B8" s="23"/>
      <c r="C8" s="23"/>
      <c r="D8" s="24"/>
      <c r="E8" s="21"/>
    </row>
    <row r="9" spans="1:5" x14ac:dyDescent="0.3">
      <c r="A9" s="7" t="s">
        <v>37</v>
      </c>
      <c r="B9" s="7" t="s">
        <v>38</v>
      </c>
      <c r="C9" s="7" t="s">
        <v>39</v>
      </c>
      <c r="D9" s="7" t="s">
        <v>40</v>
      </c>
    </row>
    <row r="10" spans="1:5" x14ac:dyDescent="0.3">
      <c r="A10" s="7" t="s">
        <v>41</v>
      </c>
      <c r="B10" s="7">
        <v>82</v>
      </c>
      <c r="C10" s="7" t="s">
        <v>42</v>
      </c>
      <c r="D10" s="7"/>
    </row>
    <row r="11" spans="1:5" x14ac:dyDescent="0.3">
      <c r="A11" s="7" t="s">
        <v>43</v>
      </c>
      <c r="B11" s="7">
        <v>75</v>
      </c>
      <c r="C11" s="7" t="s">
        <v>42</v>
      </c>
      <c r="D11" s="7"/>
    </row>
    <row r="12" spans="1:5" x14ac:dyDescent="0.3">
      <c r="A12" s="25" t="s">
        <v>44</v>
      </c>
      <c r="B12" s="25"/>
      <c r="C12" s="25" t="s">
        <v>45</v>
      </c>
      <c r="D12" s="25" t="s">
        <v>46</v>
      </c>
    </row>
    <row r="13" spans="1:5" x14ac:dyDescent="0.3">
      <c r="A13" s="7" t="s">
        <v>47</v>
      </c>
      <c r="B13" s="7">
        <v>88</v>
      </c>
      <c r="C13" s="7" t="s">
        <v>42</v>
      </c>
      <c r="D13" s="7"/>
    </row>
    <row r="14" spans="1:5" x14ac:dyDescent="0.3">
      <c r="A14" s="7" t="s">
        <v>48</v>
      </c>
      <c r="B14" s="7">
        <v>91</v>
      </c>
      <c r="C14" s="7" t="s">
        <v>42</v>
      </c>
      <c r="D14" s="7"/>
    </row>
    <row r="15" spans="1:5" x14ac:dyDescent="0.3">
      <c r="A15" s="7" t="s">
        <v>49</v>
      </c>
      <c r="B15" s="7">
        <v>67</v>
      </c>
      <c r="C15" s="7" t="s">
        <v>42</v>
      </c>
      <c r="D15" s="7"/>
    </row>
    <row r="16" spans="1:5" x14ac:dyDescent="0.3">
      <c r="A16" s="25" t="s">
        <v>50</v>
      </c>
      <c r="B16" s="25"/>
      <c r="C16" s="25" t="s">
        <v>45</v>
      </c>
      <c r="D16" s="25" t="s">
        <v>46</v>
      </c>
    </row>
    <row r="17" spans="1:4" x14ac:dyDescent="0.3">
      <c r="A17" s="7" t="s">
        <v>51</v>
      </c>
      <c r="B17" s="7">
        <v>79</v>
      </c>
      <c r="C17" s="7" t="s">
        <v>42</v>
      </c>
      <c r="D17" s="7"/>
    </row>
    <row r="18" spans="1:4" x14ac:dyDescent="0.3">
      <c r="A18" s="7" t="s">
        <v>52</v>
      </c>
      <c r="B18" s="7">
        <v>84</v>
      </c>
      <c r="C18" s="7" t="s">
        <v>42</v>
      </c>
      <c r="D18" s="7"/>
    </row>
    <row r="19" spans="1:4" x14ac:dyDescent="0.3">
      <c r="A19" s="7" t="s">
        <v>53</v>
      </c>
      <c r="B19" s="7">
        <v>70</v>
      </c>
      <c r="C19" s="7" t="s">
        <v>42</v>
      </c>
      <c r="D19" s="7"/>
    </row>
    <row r="20" spans="1:4" x14ac:dyDescent="0.3">
      <c r="A20" s="7" t="s">
        <v>54</v>
      </c>
      <c r="B20" s="7">
        <v>93</v>
      </c>
      <c r="C20" s="7" t="s">
        <v>42</v>
      </c>
      <c r="D20" s="7"/>
    </row>
    <row r="21" spans="1:4" x14ac:dyDescent="0.3">
      <c r="A21" s="7" t="s">
        <v>55</v>
      </c>
      <c r="B21" s="7">
        <v>66</v>
      </c>
      <c r="C21" s="7" t="s">
        <v>42</v>
      </c>
      <c r="D21" s="7"/>
    </row>
    <row r="22" spans="1:4" x14ac:dyDescent="0.3">
      <c r="A22" s="25" t="s">
        <v>56</v>
      </c>
      <c r="B22" s="25"/>
      <c r="C22" s="25" t="s">
        <v>45</v>
      </c>
      <c r="D22" s="25" t="s">
        <v>46</v>
      </c>
    </row>
    <row r="23" spans="1:4" x14ac:dyDescent="0.3">
      <c r="A23" s="7" t="s">
        <v>57</v>
      </c>
      <c r="B23" s="7">
        <v>77</v>
      </c>
      <c r="C23" s="7" t="s">
        <v>42</v>
      </c>
      <c r="D23" s="7"/>
    </row>
    <row r="24" spans="1:4" x14ac:dyDescent="0.3">
      <c r="A24" s="7" t="s">
        <v>58</v>
      </c>
      <c r="B24" s="7">
        <v>85</v>
      </c>
      <c r="C24" s="7" t="s">
        <v>42</v>
      </c>
      <c r="D24" s="7"/>
    </row>
    <row r="25" spans="1:4" x14ac:dyDescent="0.3">
      <c r="A25" s="7" t="s">
        <v>59</v>
      </c>
      <c r="B25" s="7">
        <v>72</v>
      </c>
      <c r="C25" s="7" t="s">
        <v>42</v>
      </c>
      <c r="D25" s="7"/>
    </row>
    <row r="26" spans="1:4" x14ac:dyDescent="0.3">
      <c r="A26" s="7" t="s">
        <v>60</v>
      </c>
      <c r="B26" s="7">
        <v>89</v>
      </c>
      <c r="C26" s="7" t="s">
        <v>42</v>
      </c>
      <c r="D26" s="7"/>
    </row>
    <row r="27" spans="1:4" x14ac:dyDescent="0.3">
      <c r="A27" s="7" t="s">
        <v>61</v>
      </c>
      <c r="B27" s="7">
        <v>64</v>
      </c>
      <c r="C27" s="7" t="s">
        <v>42</v>
      </c>
      <c r="D27" s="7"/>
    </row>
    <row r="28" spans="1:4" x14ac:dyDescent="0.3">
      <c r="A28" s="7" t="s">
        <v>62</v>
      </c>
      <c r="B28" s="7">
        <v>78</v>
      </c>
      <c r="C28" s="7" t="s">
        <v>42</v>
      </c>
      <c r="D28" s="7"/>
    </row>
    <row r="29" spans="1:4" x14ac:dyDescent="0.3">
      <c r="A29" s="26" t="s">
        <v>63</v>
      </c>
      <c r="B29" s="26">
        <v>115</v>
      </c>
      <c r="C29" s="26" t="s">
        <v>64</v>
      </c>
      <c r="D29" s="26" t="s">
        <v>65</v>
      </c>
    </row>
    <row r="31" spans="1:4" x14ac:dyDescent="0.3">
      <c r="A31" s="6" t="s">
        <v>66</v>
      </c>
      <c r="B31" s="6"/>
    </row>
    <row r="32" spans="1:4" x14ac:dyDescent="0.3">
      <c r="A32" s="7" t="s">
        <v>69</v>
      </c>
      <c r="B32" s="7" t="s">
        <v>67</v>
      </c>
    </row>
    <row r="33" spans="1:4" x14ac:dyDescent="0.3">
      <c r="A33" s="7" t="s">
        <v>68</v>
      </c>
      <c r="B33" s="7" t="s">
        <v>70</v>
      </c>
    </row>
    <row r="35" spans="1:4" x14ac:dyDescent="0.3">
      <c r="A35" t="s">
        <v>71</v>
      </c>
    </row>
    <row r="36" spans="1:4" x14ac:dyDescent="0.3">
      <c r="A36" s="19" t="s">
        <v>75</v>
      </c>
      <c r="B36" s="6" t="s">
        <v>76</v>
      </c>
      <c r="C36" s="6"/>
      <c r="D36" s="6"/>
    </row>
    <row r="37" spans="1:4" x14ac:dyDescent="0.3">
      <c r="A37" s="7" t="s">
        <v>72</v>
      </c>
      <c r="B37" s="8" t="s">
        <v>79</v>
      </c>
      <c r="C37" s="8"/>
      <c r="D37" s="8"/>
    </row>
    <row r="38" spans="1:4" x14ac:dyDescent="0.3">
      <c r="A38" s="7" t="s">
        <v>73</v>
      </c>
      <c r="B38" s="8" t="s">
        <v>80</v>
      </c>
      <c r="C38" s="8"/>
      <c r="D38" s="8"/>
    </row>
    <row r="39" spans="1:4" x14ac:dyDescent="0.3">
      <c r="A39" s="7" t="s">
        <v>74</v>
      </c>
      <c r="B39" s="8" t="s">
        <v>81</v>
      </c>
      <c r="C39" s="8"/>
      <c r="D39" s="8"/>
    </row>
    <row r="40" spans="1:4" x14ac:dyDescent="0.3">
      <c r="A40" s="7" t="s">
        <v>121</v>
      </c>
      <c r="B40" s="8" t="s">
        <v>82</v>
      </c>
      <c r="C40" s="8"/>
      <c r="D40" s="8"/>
    </row>
    <row r="41" spans="1:4" x14ac:dyDescent="0.3">
      <c r="A41" s="7" t="s">
        <v>77</v>
      </c>
      <c r="B41" s="8" t="s">
        <v>83</v>
      </c>
      <c r="C41" s="8"/>
      <c r="D41" s="8"/>
    </row>
    <row r="42" spans="1:4" x14ac:dyDescent="0.3">
      <c r="A42" s="7" t="s">
        <v>78</v>
      </c>
      <c r="B42" s="8" t="s">
        <v>84</v>
      </c>
      <c r="C42" s="8"/>
      <c r="D42" s="8"/>
    </row>
  </sheetData>
  <mergeCells count="13">
    <mergeCell ref="B41:D41"/>
    <mergeCell ref="B42:D42"/>
    <mergeCell ref="A31:B31"/>
    <mergeCell ref="B37:D37"/>
    <mergeCell ref="B36:D36"/>
    <mergeCell ref="B38:D38"/>
    <mergeCell ref="B39:D39"/>
    <mergeCell ref="B40:D40"/>
    <mergeCell ref="A2:E2"/>
    <mergeCell ref="A1:E1"/>
    <mergeCell ref="A3:E3"/>
    <mergeCell ref="A6:E6"/>
    <mergeCell ref="A8:D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7C65A-59B3-4A55-88C8-9F6A9CEE3341}">
  <dimension ref="A1:H76"/>
  <sheetViews>
    <sheetView workbookViewId="0">
      <selection activeCell="A5" sqref="A5"/>
    </sheetView>
  </sheetViews>
  <sheetFormatPr defaultRowHeight="14.4" x14ac:dyDescent="0.3"/>
  <cols>
    <col min="1" max="1" width="27.109375" bestFit="1" customWidth="1"/>
    <col min="2" max="2" width="13.109375" bestFit="1" customWidth="1"/>
    <col min="3" max="3" width="33.6640625" bestFit="1" customWidth="1"/>
    <col min="4" max="4" width="10.33203125" bestFit="1" customWidth="1"/>
    <col min="5" max="5" width="55.21875" bestFit="1" customWidth="1"/>
    <col min="7" max="7" width="13.109375" bestFit="1" customWidth="1"/>
    <col min="8" max="8" width="13.44140625" bestFit="1" customWidth="1"/>
  </cols>
  <sheetData>
    <row r="1" spans="1:8" x14ac:dyDescent="0.3">
      <c r="A1" s="1" t="s">
        <v>86</v>
      </c>
      <c r="B1" s="1"/>
      <c r="C1" s="1"/>
      <c r="D1" s="1"/>
      <c r="E1" s="1"/>
      <c r="F1" s="1"/>
    </row>
    <row r="2" spans="1:8" ht="45" customHeight="1" x14ac:dyDescent="0.3">
      <c r="A2" s="4" t="s">
        <v>85</v>
      </c>
      <c r="B2" s="4"/>
      <c r="C2" s="4"/>
      <c r="D2" s="4"/>
      <c r="E2" s="4"/>
      <c r="F2" s="4"/>
    </row>
    <row r="4" spans="1:8" x14ac:dyDescent="0.3">
      <c r="A4" s="17" t="s">
        <v>87</v>
      </c>
      <c r="B4" s="17"/>
      <c r="C4" s="17"/>
      <c r="D4" s="17"/>
      <c r="E4" s="17"/>
      <c r="G4" s="17" t="s">
        <v>98</v>
      </c>
      <c r="H4" s="17"/>
    </row>
    <row r="5" spans="1:8" x14ac:dyDescent="0.3">
      <c r="A5" s="7" t="s">
        <v>37</v>
      </c>
      <c r="B5" s="7" t="s">
        <v>88</v>
      </c>
      <c r="C5" s="7" t="s">
        <v>89</v>
      </c>
      <c r="D5" s="7" t="s">
        <v>90</v>
      </c>
      <c r="E5" s="7" t="s">
        <v>91</v>
      </c>
      <c r="G5" s="7" t="s">
        <v>100</v>
      </c>
      <c r="H5" s="7" t="s">
        <v>101</v>
      </c>
    </row>
    <row r="6" spans="1:8" x14ac:dyDescent="0.3">
      <c r="A6" s="7" t="s">
        <v>41</v>
      </c>
      <c r="B6" s="7">
        <v>82</v>
      </c>
      <c r="C6" s="7">
        <v>82</v>
      </c>
      <c r="D6" s="7" t="s">
        <v>92</v>
      </c>
      <c r="E6" s="7" t="s">
        <v>93</v>
      </c>
      <c r="G6" s="7">
        <v>82</v>
      </c>
      <c r="H6" s="7">
        <v>82</v>
      </c>
    </row>
    <row r="7" spans="1:8" x14ac:dyDescent="0.3">
      <c r="A7" s="7" t="s">
        <v>43</v>
      </c>
      <c r="B7" s="7">
        <v>75</v>
      </c>
      <c r="C7" s="7">
        <v>75</v>
      </c>
      <c r="D7" s="7" t="s">
        <v>92</v>
      </c>
      <c r="E7" s="7" t="s">
        <v>93</v>
      </c>
      <c r="G7" s="7">
        <v>75</v>
      </c>
      <c r="H7" s="7">
        <v>75</v>
      </c>
    </row>
    <row r="8" spans="1:8" x14ac:dyDescent="0.3">
      <c r="A8" s="28" t="s">
        <v>44</v>
      </c>
      <c r="B8" s="28"/>
      <c r="C8" s="28">
        <v>79</v>
      </c>
      <c r="D8" s="28" t="s">
        <v>94</v>
      </c>
      <c r="E8" s="28" t="s">
        <v>95</v>
      </c>
      <c r="G8" s="7">
        <v>88</v>
      </c>
      <c r="H8" s="7">
        <v>79</v>
      </c>
    </row>
    <row r="9" spans="1:8" x14ac:dyDescent="0.3">
      <c r="A9" s="7" t="s">
        <v>47</v>
      </c>
      <c r="B9" s="7">
        <v>88</v>
      </c>
      <c r="C9" s="7">
        <v>88</v>
      </c>
      <c r="D9" s="7" t="s">
        <v>92</v>
      </c>
      <c r="E9" s="7" t="s">
        <v>93</v>
      </c>
      <c r="G9" s="7">
        <v>91</v>
      </c>
      <c r="H9" s="7">
        <v>88</v>
      </c>
    </row>
    <row r="10" spans="1:8" x14ac:dyDescent="0.3">
      <c r="A10" s="7" t="s">
        <v>48</v>
      </c>
      <c r="B10" s="7">
        <v>91</v>
      </c>
      <c r="C10" s="7">
        <v>91</v>
      </c>
      <c r="D10" s="7" t="s">
        <v>92</v>
      </c>
      <c r="E10" s="7" t="s">
        <v>93</v>
      </c>
      <c r="G10" s="7">
        <v>67</v>
      </c>
      <c r="H10" s="7">
        <v>91</v>
      </c>
    </row>
    <row r="11" spans="1:8" x14ac:dyDescent="0.3">
      <c r="A11" s="7" t="s">
        <v>49</v>
      </c>
      <c r="B11" s="7">
        <v>67</v>
      </c>
      <c r="C11" s="7">
        <v>67</v>
      </c>
      <c r="D11" s="7" t="s">
        <v>92</v>
      </c>
      <c r="E11" s="7" t="s">
        <v>93</v>
      </c>
      <c r="G11" s="7">
        <v>79</v>
      </c>
      <c r="H11" s="7">
        <v>67</v>
      </c>
    </row>
    <row r="12" spans="1:8" x14ac:dyDescent="0.3">
      <c r="A12" s="28" t="s">
        <v>50</v>
      </c>
      <c r="B12" s="28"/>
      <c r="C12" s="28">
        <v>79</v>
      </c>
      <c r="D12" s="28" t="s">
        <v>94</v>
      </c>
      <c r="E12" s="28" t="s">
        <v>95</v>
      </c>
      <c r="G12" s="7">
        <v>84</v>
      </c>
      <c r="H12" s="7">
        <v>79</v>
      </c>
    </row>
    <row r="13" spans="1:8" x14ac:dyDescent="0.3">
      <c r="A13" s="7" t="s">
        <v>51</v>
      </c>
      <c r="B13" s="7">
        <v>79</v>
      </c>
      <c r="C13" s="7">
        <v>79</v>
      </c>
      <c r="D13" s="7" t="s">
        <v>92</v>
      </c>
      <c r="E13" s="7" t="s">
        <v>93</v>
      </c>
      <c r="G13" s="7">
        <v>70</v>
      </c>
      <c r="H13" s="7">
        <v>79</v>
      </c>
    </row>
    <row r="14" spans="1:8" x14ac:dyDescent="0.3">
      <c r="A14" s="7" t="s">
        <v>52</v>
      </c>
      <c r="B14" s="7">
        <v>84</v>
      </c>
      <c r="C14" s="7">
        <v>84</v>
      </c>
      <c r="D14" s="7" t="s">
        <v>92</v>
      </c>
      <c r="E14" s="7" t="s">
        <v>93</v>
      </c>
      <c r="G14" s="7">
        <v>93</v>
      </c>
      <c r="H14" s="7">
        <v>84</v>
      </c>
    </row>
    <row r="15" spans="1:8" x14ac:dyDescent="0.3">
      <c r="A15" s="7" t="s">
        <v>53</v>
      </c>
      <c r="B15" s="7">
        <v>70</v>
      </c>
      <c r="C15" s="7">
        <v>70</v>
      </c>
      <c r="D15" s="7" t="s">
        <v>92</v>
      </c>
      <c r="E15" s="7" t="s">
        <v>93</v>
      </c>
      <c r="G15" s="7">
        <v>66</v>
      </c>
      <c r="H15" s="7">
        <v>70</v>
      </c>
    </row>
    <row r="16" spans="1:8" x14ac:dyDescent="0.3">
      <c r="A16" s="7" t="s">
        <v>54</v>
      </c>
      <c r="B16" s="7">
        <v>93</v>
      </c>
      <c r="C16" s="7">
        <v>93</v>
      </c>
      <c r="D16" s="7" t="s">
        <v>92</v>
      </c>
      <c r="E16" s="7" t="s">
        <v>93</v>
      </c>
      <c r="G16" s="7">
        <v>77</v>
      </c>
      <c r="H16" s="7">
        <v>93</v>
      </c>
    </row>
    <row r="17" spans="1:8" x14ac:dyDescent="0.3">
      <c r="A17" s="7" t="s">
        <v>55</v>
      </c>
      <c r="B17" s="7">
        <v>66</v>
      </c>
      <c r="C17" s="7">
        <v>66</v>
      </c>
      <c r="D17" s="7" t="s">
        <v>92</v>
      </c>
      <c r="E17" s="7" t="s">
        <v>93</v>
      </c>
      <c r="G17" s="7">
        <v>85</v>
      </c>
      <c r="H17" s="7">
        <v>66</v>
      </c>
    </row>
    <row r="18" spans="1:8" x14ac:dyDescent="0.3">
      <c r="A18" s="28" t="s">
        <v>56</v>
      </c>
      <c r="B18" s="28"/>
      <c r="C18" s="28">
        <v>79</v>
      </c>
      <c r="D18" s="28" t="s">
        <v>94</v>
      </c>
      <c r="E18" s="28" t="s">
        <v>95</v>
      </c>
      <c r="G18" s="7">
        <v>72</v>
      </c>
      <c r="H18" s="7">
        <v>79</v>
      </c>
    </row>
    <row r="19" spans="1:8" x14ac:dyDescent="0.3">
      <c r="A19" s="7" t="s">
        <v>57</v>
      </c>
      <c r="B19" s="7">
        <v>77</v>
      </c>
      <c r="C19" s="7">
        <v>77</v>
      </c>
      <c r="D19" s="7" t="s">
        <v>92</v>
      </c>
      <c r="E19" s="7" t="s">
        <v>93</v>
      </c>
      <c r="G19" s="7">
        <v>89</v>
      </c>
      <c r="H19" s="7">
        <v>77</v>
      </c>
    </row>
    <row r="20" spans="1:8" x14ac:dyDescent="0.3">
      <c r="A20" s="7" t="s">
        <v>58</v>
      </c>
      <c r="B20" s="7">
        <v>85</v>
      </c>
      <c r="C20" s="7">
        <v>85</v>
      </c>
      <c r="D20" s="7" t="s">
        <v>92</v>
      </c>
      <c r="E20" s="7" t="s">
        <v>93</v>
      </c>
      <c r="G20" s="7">
        <v>64</v>
      </c>
      <c r="H20" s="7">
        <v>85</v>
      </c>
    </row>
    <row r="21" spans="1:8" x14ac:dyDescent="0.3">
      <c r="A21" s="7" t="s">
        <v>59</v>
      </c>
      <c r="B21" s="7">
        <v>72</v>
      </c>
      <c r="C21" s="7">
        <v>72</v>
      </c>
      <c r="D21" s="7" t="s">
        <v>92</v>
      </c>
      <c r="E21" s="7" t="s">
        <v>93</v>
      </c>
      <c r="G21" s="7">
        <v>78</v>
      </c>
      <c r="H21" s="7">
        <v>72</v>
      </c>
    </row>
    <row r="22" spans="1:8" x14ac:dyDescent="0.3">
      <c r="A22" s="7" t="s">
        <v>60</v>
      </c>
      <c r="B22" s="7">
        <v>89</v>
      </c>
      <c r="C22" s="7">
        <v>89</v>
      </c>
      <c r="D22" s="7" t="s">
        <v>92</v>
      </c>
      <c r="E22" s="7" t="s">
        <v>93</v>
      </c>
      <c r="G22" s="7"/>
      <c r="H22" s="7">
        <v>89</v>
      </c>
    </row>
    <row r="23" spans="1:8" x14ac:dyDescent="0.3">
      <c r="A23" s="7" t="s">
        <v>61</v>
      </c>
      <c r="B23" s="7">
        <v>64</v>
      </c>
      <c r="C23" s="7">
        <v>64</v>
      </c>
      <c r="D23" s="7" t="s">
        <v>92</v>
      </c>
      <c r="E23" s="7" t="s">
        <v>93</v>
      </c>
      <c r="G23" s="20"/>
      <c r="H23" s="7">
        <v>64</v>
      </c>
    </row>
    <row r="24" spans="1:8" x14ac:dyDescent="0.3">
      <c r="A24" s="7" t="s">
        <v>62</v>
      </c>
      <c r="B24" s="7">
        <v>78</v>
      </c>
      <c r="C24" s="7">
        <v>78</v>
      </c>
      <c r="D24" s="7" t="s">
        <v>92</v>
      </c>
      <c r="E24" s="7" t="s">
        <v>93</v>
      </c>
      <c r="H24" s="7">
        <v>78</v>
      </c>
    </row>
    <row r="25" spans="1:8" x14ac:dyDescent="0.3">
      <c r="A25" s="29" t="s">
        <v>63</v>
      </c>
      <c r="B25" s="29">
        <v>115</v>
      </c>
      <c r="C25" s="29" t="s">
        <v>96</v>
      </c>
      <c r="D25" s="29" t="s">
        <v>94</v>
      </c>
      <c r="E25" s="29" t="s">
        <v>97</v>
      </c>
    </row>
    <row r="28" spans="1:8" x14ac:dyDescent="0.3">
      <c r="A28" s="6" t="s">
        <v>102</v>
      </c>
      <c r="B28" s="6"/>
      <c r="C28" s="6"/>
      <c r="D28" s="5"/>
      <c r="E28" s="5"/>
    </row>
    <row r="29" spans="1:8" x14ac:dyDescent="0.3">
      <c r="A29" s="19" t="s">
        <v>103</v>
      </c>
      <c r="B29" s="19" t="s">
        <v>100</v>
      </c>
      <c r="C29" s="19" t="s">
        <v>101</v>
      </c>
    </row>
    <row r="30" spans="1:8" x14ac:dyDescent="0.3">
      <c r="A30" s="7" t="s">
        <v>104</v>
      </c>
      <c r="B30" s="7">
        <f>COUNT(G6:G21)</f>
        <v>16</v>
      </c>
      <c r="C30" s="7">
        <f>COUNT(H6:H24)</f>
        <v>19</v>
      </c>
    </row>
    <row r="31" spans="1:8" x14ac:dyDescent="0.3">
      <c r="A31" s="7" t="s">
        <v>105</v>
      </c>
      <c r="B31" s="7">
        <f>SUM(G6:G21)</f>
        <v>1260</v>
      </c>
      <c r="C31" s="7">
        <f>SUM(H6:H24)</f>
        <v>1497</v>
      </c>
    </row>
    <row r="32" spans="1:8" x14ac:dyDescent="0.3">
      <c r="A32" s="7" t="s">
        <v>106</v>
      </c>
      <c r="B32" s="7">
        <f>AVERAGE(G6:G21)</f>
        <v>78.75</v>
      </c>
      <c r="C32" s="30">
        <f>AVERAGE(H6:H24)</f>
        <v>78.78947368421052</v>
      </c>
    </row>
    <row r="33" spans="1:3" x14ac:dyDescent="0.3">
      <c r="A33" s="7" t="s">
        <v>107</v>
      </c>
      <c r="B33" s="7">
        <f>MEDIAN(G6:G21)</f>
        <v>78.5</v>
      </c>
      <c r="C33" s="7">
        <f>MEDIAN(H6:H24)</f>
        <v>79</v>
      </c>
    </row>
    <row r="34" spans="1:3" x14ac:dyDescent="0.3">
      <c r="A34" s="7" t="s">
        <v>108</v>
      </c>
      <c r="B34" s="30">
        <f>_xlfn.STDEV.S(G6:G21)</f>
        <v>9.2339951628028629</v>
      </c>
      <c r="C34" s="30">
        <f>_xlfn.STDEV.S(H6:H24)</f>
        <v>8.429966042955332</v>
      </c>
    </row>
    <row r="35" spans="1:3" x14ac:dyDescent="0.3">
      <c r="A35" s="7" t="s">
        <v>109</v>
      </c>
      <c r="B35" s="30">
        <f>_xlfn.VAR.S(G6:G21)</f>
        <v>85.266666666666666</v>
      </c>
      <c r="C35" s="30">
        <f>_xlfn.VAR.S(H6:H24)</f>
        <v>71.064327485379991</v>
      </c>
    </row>
    <row r="36" spans="1:3" x14ac:dyDescent="0.3">
      <c r="A36" s="7" t="s">
        <v>110</v>
      </c>
      <c r="B36" s="7">
        <f>MIN(G6:G21)</f>
        <v>64</v>
      </c>
      <c r="C36" s="7">
        <f>MIN(H6:H24)</f>
        <v>64</v>
      </c>
    </row>
    <row r="37" spans="1:3" x14ac:dyDescent="0.3">
      <c r="A37" s="7" t="s">
        <v>111</v>
      </c>
      <c r="B37" s="7">
        <f>MAX(G6:G21)</f>
        <v>93</v>
      </c>
      <c r="C37" s="7">
        <f>MAX(H6:H24)</f>
        <v>93</v>
      </c>
    </row>
    <row r="38" spans="1:3" x14ac:dyDescent="0.3">
      <c r="A38" s="7" t="s">
        <v>112</v>
      </c>
      <c r="B38" s="7">
        <f>B37-B36</f>
        <v>29</v>
      </c>
      <c r="C38" s="7">
        <f>C37-C36</f>
        <v>29</v>
      </c>
    </row>
    <row r="39" spans="1:3" x14ac:dyDescent="0.3">
      <c r="A39" s="7" t="s">
        <v>113</v>
      </c>
      <c r="B39" s="30">
        <f>SKEW(G6:G21)</f>
        <v>-8.8687870905114971E-2</v>
      </c>
      <c r="C39" s="30">
        <f>SKEW(H6:H24)</f>
        <v>-0.11068758606153541</v>
      </c>
    </row>
    <row r="40" spans="1:3" x14ac:dyDescent="0.3">
      <c r="A40" s="7" t="s">
        <v>114</v>
      </c>
      <c r="B40" s="30">
        <f>KURT(G6:G21)</f>
        <v>-1.1670287066979053</v>
      </c>
      <c r="C40" s="30">
        <f>KURT(H6:H24)</f>
        <v>-0.72058790028891329</v>
      </c>
    </row>
    <row r="41" spans="1:3" x14ac:dyDescent="0.3">
      <c r="A41" s="7" t="s">
        <v>115</v>
      </c>
      <c r="B41" s="30">
        <f>QUARTILE(G6:G21,1)</f>
        <v>71.5</v>
      </c>
      <c r="C41" s="30">
        <f>QUARTILE(H6:H24,1)</f>
        <v>73.5</v>
      </c>
    </row>
    <row r="42" spans="1:3" x14ac:dyDescent="0.3">
      <c r="A42" s="7" t="s">
        <v>116</v>
      </c>
      <c r="B42" s="7">
        <f>QUARTILE(G6:G21,3)</f>
        <v>85.75</v>
      </c>
      <c r="C42" s="30">
        <f>QUARTILE(H6:H24,3)</f>
        <v>84.5</v>
      </c>
    </row>
    <row r="43" spans="1:3" x14ac:dyDescent="0.3">
      <c r="A43" s="7" t="s">
        <v>117</v>
      </c>
      <c r="B43" s="30">
        <f>B42-B41</f>
        <v>14.25</v>
      </c>
      <c r="C43" s="30">
        <f>C42-C41</f>
        <v>11</v>
      </c>
    </row>
    <row r="45" spans="1:3" x14ac:dyDescent="0.3">
      <c r="A45" s="6" t="s">
        <v>129</v>
      </c>
      <c r="B45" s="6"/>
      <c r="C45" s="6"/>
    </row>
    <row r="46" spans="1:3" x14ac:dyDescent="0.3">
      <c r="A46" s="7" t="s">
        <v>118</v>
      </c>
      <c r="B46" s="7" t="s">
        <v>119</v>
      </c>
      <c r="C46" s="7" t="s">
        <v>120</v>
      </c>
    </row>
    <row r="47" spans="1:3" x14ac:dyDescent="0.3">
      <c r="A47" s="7" t="s">
        <v>122</v>
      </c>
      <c r="B47" s="30">
        <f>B41</f>
        <v>71.5</v>
      </c>
      <c r="C47" s="7" t="s">
        <v>131</v>
      </c>
    </row>
    <row r="48" spans="1:3" x14ac:dyDescent="0.3">
      <c r="A48" s="7" t="s">
        <v>123</v>
      </c>
      <c r="B48" s="7">
        <f>B42</f>
        <v>85.75</v>
      </c>
      <c r="C48" s="7" t="s">
        <v>132</v>
      </c>
    </row>
    <row r="49" spans="1:4" x14ac:dyDescent="0.3">
      <c r="A49" s="7" t="s">
        <v>124</v>
      </c>
      <c r="B49" s="30">
        <f>B43</f>
        <v>14.25</v>
      </c>
      <c r="C49" s="7" t="s">
        <v>133</v>
      </c>
    </row>
    <row r="50" spans="1:4" x14ac:dyDescent="0.3">
      <c r="A50" s="7" t="s">
        <v>125</v>
      </c>
      <c r="B50" s="30">
        <f>B41-(1.5*B49)</f>
        <v>50.125</v>
      </c>
      <c r="C50" s="7" t="s">
        <v>134</v>
      </c>
    </row>
    <row r="51" spans="1:4" x14ac:dyDescent="0.3">
      <c r="A51" s="7" t="s">
        <v>126</v>
      </c>
      <c r="B51" s="30">
        <f>B42+(1.5*B49)</f>
        <v>107.125</v>
      </c>
      <c r="C51" s="7" t="s">
        <v>135</v>
      </c>
    </row>
    <row r="52" spans="1:4" x14ac:dyDescent="0.3">
      <c r="A52" s="7" t="s">
        <v>127</v>
      </c>
      <c r="B52" s="7">
        <f>B42+(3*B49)</f>
        <v>128.5</v>
      </c>
      <c r="C52" s="7" t="s">
        <v>136</v>
      </c>
    </row>
    <row r="53" spans="1:4" x14ac:dyDescent="0.3">
      <c r="A53" s="7" t="s">
        <v>128</v>
      </c>
      <c r="B53" s="31" t="s">
        <v>130</v>
      </c>
      <c r="C53" s="7" t="s">
        <v>137</v>
      </c>
    </row>
    <row r="55" spans="1:4" x14ac:dyDescent="0.3">
      <c r="A55" s="6" t="s">
        <v>138</v>
      </c>
      <c r="B55" s="6"/>
      <c r="C55" s="6"/>
      <c r="D55" s="6"/>
    </row>
    <row r="56" spans="1:4" x14ac:dyDescent="0.3">
      <c r="A56" s="6" t="s">
        <v>143</v>
      </c>
      <c r="B56" s="6"/>
      <c r="C56" s="6"/>
      <c r="D56" s="6"/>
    </row>
    <row r="57" spans="1:4" x14ac:dyDescent="0.3">
      <c r="A57" s="7" t="s">
        <v>37</v>
      </c>
      <c r="B57" s="7" t="s">
        <v>139</v>
      </c>
      <c r="C57" s="7" t="s">
        <v>140</v>
      </c>
      <c r="D57" s="7" t="s">
        <v>141</v>
      </c>
    </row>
    <row r="58" spans="1:4" x14ac:dyDescent="0.3">
      <c r="A58" s="7" t="s">
        <v>41</v>
      </c>
      <c r="B58" s="7">
        <v>82</v>
      </c>
      <c r="C58" s="30">
        <f>(B58-AVERAGE($H$6:$H$24))/STDEV($H$6:$H$24)</f>
        <v>0.38084688591034355</v>
      </c>
      <c r="D58" s="7" t="s">
        <v>142</v>
      </c>
    </row>
    <row r="59" spans="1:4" x14ac:dyDescent="0.3">
      <c r="A59" s="7" t="s">
        <v>43</v>
      </c>
      <c r="B59" s="7">
        <v>75</v>
      </c>
      <c r="C59" s="30">
        <f t="shared" ref="C59:C76" si="0">(B59-AVERAGE($H$6:$H$24))/STDEV($H$6:$H$24)</f>
        <v>-0.44952419320564985</v>
      </c>
      <c r="D59" s="7" t="s">
        <v>142</v>
      </c>
    </row>
    <row r="60" spans="1:4" x14ac:dyDescent="0.3">
      <c r="A60" s="7" t="s">
        <v>44</v>
      </c>
      <c r="B60" s="7">
        <v>79</v>
      </c>
      <c r="C60" s="30">
        <f t="shared" si="0"/>
        <v>2.4973566289203518E-2</v>
      </c>
      <c r="D60" s="7" t="s">
        <v>142</v>
      </c>
    </row>
    <row r="61" spans="1:4" x14ac:dyDescent="0.3">
      <c r="A61" s="7" t="s">
        <v>47</v>
      </c>
      <c r="B61" s="7">
        <v>88</v>
      </c>
      <c r="C61" s="30">
        <f t="shared" si="0"/>
        <v>1.0925935251526235</v>
      </c>
      <c r="D61" s="7" t="s">
        <v>142</v>
      </c>
    </row>
    <row r="62" spans="1:4" x14ac:dyDescent="0.3">
      <c r="A62" s="7" t="s">
        <v>48</v>
      </c>
      <c r="B62" s="7">
        <v>91</v>
      </c>
      <c r="C62" s="30">
        <f t="shared" si="0"/>
        <v>1.4484668447737636</v>
      </c>
      <c r="D62" s="7" t="s">
        <v>142</v>
      </c>
    </row>
    <row r="63" spans="1:4" x14ac:dyDescent="0.3">
      <c r="A63" s="7" t="s">
        <v>49</v>
      </c>
      <c r="B63" s="7">
        <v>67</v>
      </c>
      <c r="C63" s="30">
        <f t="shared" si="0"/>
        <v>-1.3985197121953565</v>
      </c>
      <c r="D63" s="7" t="s">
        <v>142</v>
      </c>
    </row>
    <row r="64" spans="1:4" x14ac:dyDescent="0.3">
      <c r="A64" s="7" t="s">
        <v>50</v>
      </c>
      <c r="B64" s="7">
        <v>79</v>
      </c>
      <c r="C64" s="30">
        <f t="shared" si="0"/>
        <v>2.4973566289203518E-2</v>
      </c>
      <c r="D64" s="7" t="s">
        <v>142</v>
      </c>
    </row>
    <row r="65" spans="1:4" x14ac:dyDescent="0.3">
      <c r="A65" s="7" t="s">
        <v>51</v>
      </c>
      <c r="B65" s="7">
        <v>79</v>
      </c>
      <c r="C65" s="30">
        <f t="shared" si="0"/>
        <v>2.4973566289203518E-2</v>
      </c>
      <c r="D65" s="7" t="s">
        <v>142</v>
      </c>
    </row>
    <row r="66" spans="1:4" x14ac:dyDescent="0.3">
      <c r="A66" s="7" t="s">
        <v>52</v>
      </c>
      <c r="B66" s="7">
        <v>84</v>
      </c>
      <c r="C66" s="30">
        <f t="shared" si="0"/>
        <v>0.61809576565777025</v>
      </c>
      <c r="D66" s="7" t="s">
        <v>142</v>
      </c>
    </row>
    <row r="67" spans="1:4" x14ac:dyDescent="0.3">
      <c r="A67" s="7" t="s">
        <v>53</v>
      </c>
      <c r="B67" s="7">
        <v>70</v>
      </c>
      <c r="C67" s="30">
        <f t="shared" si="0"/>
        <v>-1.0426463925742167</v>
      </c>
      <c r="D67" s="7" t="s">
        <v>142</v>
      </c>
    </row>
    <row r="68" spans="1:4" x14ac:dyDescent="0.3">
      <c r="A68" s="7" t="s">
        <v>54</v>
      </c>
      <c r="B68" s="7">
        <v>93</v>
      </c>
      <c r="C68" s="30">
        <f t="shared" si="0"/>
        <v>1.6857157245211905</v>
      </c>
      <c r="D68" s="7" t="s">
        <v>142</v>
      </c>
    </row>
    <row r="69" spans="1:4" x14ac:dyDescent="0.3">
      <c r="A69" s="7" t="s">
        <v>55</v>
      </c>
      <c r="B69" s="7">
        <v>66</v>
      </c>
      <c r="C69" s="30">
        <f t="shared" si="0"/>
        <v>-1.5171441520690701</v>
      </c>
      <c r="D69" s="7" t="s">
        <v>142</v>
      </c>
    </row>
    <row r="70" spans="1:4" x14ac:dyDescent="0.3">
      <c r="A70" s="7" t="s">
        <v>56</v>
      </c>
      <c r="B70" s="7">
        <v>79</v>
      </c>
      <c r="C70" s="30">
        <f t="shared" si="0"/>
        <v>2.4973566289203518E-2</v>
      </c>
      <c r="D70" s="7" t="s">
        <v>142</v>
      </c>
    </row>
    <row r="71" spans="1:4" x14ac:dyDescent="0.3">
      <c r="A71" s="7" t="s">
        <v>57</v>
      </c>
      <c r="B71" s="7">
        <v>77</v>
      </c>
      <c r="C71" s="30">
        <f t="shared" si="0"/>
        <v>-0.21227531345822317</v>
      </c>
      <c r="D71" s="7" t="s">
        <v>142</v>
      </c>
    </row>
    <row r="72" spans="1:4" x14ac:dyDescent="0.3">
      <c r="A72" s="7" t="s">
        <v>58</v>
      </c>
      <c r="B72" s="7">
        <v>85</v>
      </c>
      <c r="C72" s="30">
        <f t="shared" si="0"/>
        <v>0.73672020553148354</v>
      </c>
      <c r="D72" s="7" t="s">
        <v>142</v>
      </c>
    </row>
    <row r="73" spans="1:4" x14ac:dyDescent="0.3">
      <c r="A73" s="7" t="s">
        <v>59</v>
      </c>
      <c r="B73" s="7">
        <v>72</v>
      </c>
      <c r="C73" s="30">
        <f t="shared" si="0"/>
        <v>-0.80539751282678995</v>
      </c>
      <c r="D73" s="7" t="s">
        <v>142</v>
      </c>
    </row>
    <row r="74" spans="1:4" x14ac:dyDescent="0.3">
      <c r="A74" s="7" t="s">
        <v>60</v>
      </c>
      <c r="B74" s="7">
        <v>89</v>
      </c>
      <c r="C74" s="30">
        <f t="shared" si="0"/>
        <v>1.2112179650263371</v>
      </c>
      <c r="D74" s="7" t="s">
        <v>142</v>
      </c>
    </row>
    <row r="75" spans="1:4" x14ac:dyDescent="0.3">
      <c r="A75" s="7" t="s">
        <v>61</v>
      </c>
      <c r="B75" s="7">
        <v>64</v>
      </c>
      <c r="C75" s="30">
        <f t="shared" si="0"/>
        <v>-1.7543930318164966</v>
      </c>
      <c r="D75" s="7" t="s">
        <v>142</v>
      </c>
    </row>
    <row r="76" spans="1:4" x14ac:dyDescent="0.3">
      <c r="A76" s="7" t="s">
        <v>62</v>
      </c>
      <c r="B76" s="7">
        <v>78</v>
      </c>
      <c r="C76" s="30">
        <f t="shared" si="0"/>
        <v>-9.3650873584509825E-2</v>
      </c>
      <c r="D76" s="7" t="s">
        <v>142</v>
      </c>
    </row>
  </sheetData>
  <mergeCells count="8">
    <mergeCell ref="A55:D55"/>
    <mergeCell ref="A56:D56"/>
    <mergeCell ref="A28:C28"/>
    <mergeCell ref="A1:F1"/>
    <mergeCell ref="A2:F2"/>
    <mergeCell ref="A4:E4"/>
    <mergeCell ref="G4:H4"/>
    <mergeCell ref="A45:C4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C06C5-F1EA-41FF-9E61-E564A9522727}">
  <dimension ref="A1:H35"/>
  <sheetViews>
    <sheetView topLeftCell="A4" workbookViewId="0">
      <selection activeCell="G6" sqref="G6:H8"/>
    </sheetView>
  </sheetViews>
  <sheetFormatPr defaultRowHeight="14.4" x14ac:dyDescent="0.3"/>
  <cols>
    <col min="1" max="1" width="16.88671875" bestFit="1" customWidth="1"/>
    <col min="2" max="2" width="31.77734375" bestFit="1" customWidth="1"/>
    <col min="3" max="3" width="13.109375" bestFit="1" customWidth="1"/>
    <col min="4" max="4" width="13.21875" bestFit="1" customWidth="1"/>
    <col min="5" max="5" width="51.109375" bestFit="1" customWidth="1"/>
    <col min="8" max="8" width="11.77734375" bestFit="1" customWidth="1"/>
  </cols>
  <sheetData>
    <row r="1" spans="1:8" x14ac:dyDescent="0.3">
      <c r="A1" s="1" t="s">
        <v>144</v>
      </c>
      <c r="B1" s="1"/>
      <c r="C1" s="1"/>
      <c r="D1" s="1"/>
      <c r="E1" s="1"/>
    </row>
    <row r="3" spans="1:8" ht="78" customHeight="1" x14ac:dyDescent="0.3">
      <c r="A3" s="32" t="s">
        <v>145</v>
      </c>
      <c r="B3" s="2" t="s">
        <v>146</v>
      </c>
      <c r="C3" s="2"/>
      <c r="D3" s="2"/>
      <c r="E3" s="2"/>
    </row>
    <row r="5" spans="1:8" x14ac:dyDescent="0.3">
      <c r="A5" s="6" t="s">
        <v>147</v>
      </c>
      <c r="B5" s="6"/>
      <c r="C5" s="6"/>
      <c r="D5" s="6"/>
      <c r="E5" s="6"/>
    </row>
    <row r="6" spans="1:8" x14ac:dyDescent="0.3">
      <c r="A6" s="7" t="s">
        <v>37</v>
      </c>
      <c r="B6" s="7" t="s">
        <v>148</v>
      </c>
      <c r="C6" s="7" t="s">
        <v>149</v>
      </c>
      <c r="D6" s="7" t="s">
        <v>150</v>
      </c>
      <c r="E6" s="7" t="s">
        <v>151</v>
      </c>
      <c r="G6" s="17" t="s">
        <v>66</v>
      </c>
      <c r="H6" s="17"/>
    </row>
    <row r="7" spans="1:8" x14ac:dyDescent="0.3">
      <c r="A7" s="7" t="s">
        <v>41</v>
      </c>
      <c r="B7" s="7">
        <v>6</v>
      </c>
      <c r="C7" s="7">
        <v>82</v>
      </c>
      <c r="D7" s="7" t="s">
        <v>42</v>
      </c>
      <c r="E7" s="7"/>
      <c r="G7" s="7" t="s">
        <v>69</v>
      </c>
      <c r="H7" s="7" t="s">
        <v>67</v>
      </c>
    </row>
    <row r="8" spans="1:8" x14ac:dyDescent="0.3">
      <c r="A8" s="7" t="s">
        <v>43</v>
      </c>
      <c r="B8" s="7">
        <v>4</v>
      </c>
      <c r="C8" s="7">
        <v>75</v>
      </c>
      <c r="D8" s="7" t="s">
        <v>42</v>
      </c>
      <c r="E8" s="7"/>
      <c r="G8" s="7" t="s">
        <v>68</v>
      </c>
      <c r="H8" s="7" t="s">
        <v>70</v>
      </c>
    </row>
    <row r="9" spans="1:8" x14ac:dyDescent="0.3">
      <c r="A9" s="28" t="s">
        <v>44</v>
      </c>
      <c r="B9" s="28">
        <v>5</v>
      </c>
      <c r="C9" s="28"/>
      <c r="D9" s="28" t="s">
        <v>152</v>
      </c>
      <c r="E9" s="28" t="s">
        <v>153</v>
      </c>
    </row>
    <row r="10" spans="1:8" x14ac:dyDescent="0.3">
      <c r="A10" s="7" t="s">
        <v>47</v>
      </c>
      <c r="B10" s="7">
        <v>7</v>
      </c>
      <c r="C10" s="7">
        <v>88</v>
      </c>
      <c r="D10" s="7" t="s">
        <v>42</v>
      </c>
      <c r="E10" s="7"/>
    </row>
    <row r="11" spans="1:8" x14ac:dyDescent="0.3">
      <c r="A11" s="7" t="s">
        <v>48</v>
      </c>
      <c r="B11" s="7">
        <v>8</v>
      </c>
      <c r="C11" s="7">
        <v>91</v>
      </c>
      <c r="D11" s="7" t="s">
        <v>42</v>
      </c>
      <c r="E11" s="7"/>
    </row>
    <row r="12" spans="1:8" x14ac:dyDescent="0.3">
      <c r="A12" s="7" t="s">
        <v>49</v>
      </c>
      <c r="B12" s="7">
        <v>3</v>
      </c>
      <c r="C12" s="7">
        <v>67</v>
      </c>
      <c r="D12" s="7" t="s">
        <v>42</v>
      </c>
      <c r="E12" s="7"/>
    </row>
    <row r="13" spans="1:8" x14ac:dyDescent="0.3">
      <c r="A13" s="28" t="s">
        <v>50</v>
      </c>
      <c r="B13" s="28"/>
      <c r="C13" s="28">
        <v>73</v>
      </c>
      <c r="D13" s="28" t="s">
        <v>154</v>
      </c>
      <c r="E13" s="28" t="s">
        <v>155</v>
      </c>
    </row>
    <row r="14" spans="1:8" x14ac:dyDescent="0.3">
      <c r="A14" s="7" t="s">
        <v>51</v>
      </c>
      <c r="B14" s="7">
        <v>5</v>
      </c>
      <c r="C14" s="7">
        <v>79</v>
      </c>
      <c r="D14" s="7" t="s">
        <v>42</v>
      </c>
      <c r="E14" s="7"/>
    </row>
    <row r="15" spans="1:8" x14ac:dyDescent="0.3">
      <c r="A15" s="7" t="s">
        <v>52</v>
      </c>
      <c r="B15" s="7">
        <v>6</v>
      </c>
      <c r="C15" s="7">
        <v>84</v>
      </c>
      <c r="D15" s="7" t="s">
        <v>42</v>
      </c>
      <c r="E15" s="7"/>
    </row>
    <row r="16" spans="1:8" x14ac:dyDescent="0.3">
      <c r="A16" s="7" t="s">
        <v>53</v>
      </c>
      <c r="B16" s="7">
        <v>4</v>
      </c>
      <c r="C16" s="7">
        <v>70</v>
      </c>
      <c r="D16" s="7" t="s">
        <v>42</v>
      </c>
      <c r="E16" s="7"/>
    </row>
    <row r="17" spans="1:5" x14ac:dyDescent="0.3">
      <c r="A17" s="7" t="s">
        <v>54</v>
      </c>
      <c r="B17" s="7">
        <v>9</v>
      </c>
      <c r="C17" s="7">
        <v>93</v>
      </c>
      <c r="D17" s="7" t="s">
        <v>42</v>
      </c>
      <c r="E17" s="7"/>
    </row>
    <row r="18" spans="1:5" x14ac:dyDescent="0.3">
      <c r="A18" s="7" t="s">
        <v>55</v>
      </c>
      <c r="B18" s="7">
        <v>3</v>
      </c>
      <c r="C18" s="7">
        <v>66</v>
      </c>
      <c r="D18" s="7" t="s">
        <v>42</v>
      </c>
      <c r="E18" s="7"/>
    </row>
    <row r="19" spans="1:5" x14ac:dyDescent="0.3">
      <c r="A19" s="28" t="s">
        <v>56</v>
      </c>
      <c r="B19" s="28"/>
      <c r="C19" s="28"/>
      <c r="D19" s="28" t="s">
        <v>156</v>
      </c>
      <c r="E19" s="28" t="s">
        <v>157</v>
      </c>
    </row>
    <row r="20" spans="1:5" x14ac:dyDescent="0.3">
      <c r="A20" s="7" t="s">
        <v>57</v>
      </c>
      <c r="B20" s="7">
        <v>5</v>
      </c>
      <c r="C20" s="7">
        <v>77</v>
      </c>
      <c r="D20" s="7" t="s">
        <v>42</v>
      </c>
      <c r="E20" s="7"/>
    </row>
    <row r="21" spans="1:5" x14ac:dyDescent="0.3">
      <c r="A21" s="7" t="s">
        <v>58</v>
      </c>
      <c r="B21" s="7">
        <v>7</v>
      </c>
      <c r="C21" s="7">
        <v>85</v>
      </c>
      <c r="D21" s="7" t="s">
        <v>42</v>
      </c>
      <c r="E21" s="7"/>
    </row>
    <row r="22" spans="1:5" x14ac:dyDescent="0.3">
      <c r="A22" s="7" t="s">
        <v>59</v>
      </c>
      <c r="B22" s="7">
        <v>4</v>
      </c>
      <c r="C22" s="7">
        <v>72</v>
      </c>
      <c r="D22" s="7" t="s">
        <v>42</v>
      </c>
      <c r="E22" s="7"/>
    </row>
    <row r="23" spans="1:5" x14ac:dyDescent="0.3">
      <c r="A23" s="7" t="s">
        <v>60</v>
      </c>
      <c r="B23" s="7">
        <v>8</v>
      </c>
      <c r="C23" s="7">
        <v>89</v>
      </c>
      <c r="D23" s="7" t="s">
        <v>42</v>
      </c>
      <c r="E23" s="7"/>
    </row>
    <row r="24" spans="1:5" x14ac:dyDescent="0.3">
      <c r="A24" s="7" t="s">
        <v>61</v>
      </c>
      <c r="B24" s="7">
        <v>3</v>
      </c>
      <c r="C24" s="7">
        <v>64</v>
      </c>
      <c r="D24" s="7" t="s">
        <v>42</v>
      </c>
      <c r="E24" s="7"/>
    </row>
    <row r="25" spans="1:5" x14ac:dyDescent="0.3">
      <c r="A25" s="7" t="s">
        <v>62</v>
      </c>
      <c r="B25" s="7">
        <v>6</v>
      </c>
      <c r="C25" s="7">
        <v>78</v>
      </c>
      <c r="D25" s="7" t="s">
        <v>42</v>
      </c>
      <c r="E25" s="7"/>
    </row>
    <row r="26" spans="1:5" x14ac:dyDescent="0.3">
      <c r="A26" s="29" t="s">
        <v>63</v>
      </c>
      <c r="B26" s="29">
        <v>10</v>
      </c>
      <c r="C26" s="29">
        <v>115</v>
      </c>
      <c r="D26" s="29" t="s">
        <v>158</v>
      </c>
      <c r="E26" s="29" t="s">
        <v>159</v>
      </c>
    </row>
    <row r="29" spans="1:5" x14ac:dyDescent="0.3">
      <c r="A29" s="17" t="s">
        <v>160</v>
      </c>
      <c r="B29" s="17"/>
      <c r="C29" s="17"/>
      <c r="D29" s="17"/>
      <c r="E29" s="17"/>
    </row>
    <row r="30" spans="1:5" x14ac:dyDescent="0.3">
      <c r="A30" s="27" t="s">
        <v>161</v>
      </c>
      <c r="B30" s="27" t="s">
        <v>162</v>
      </c>
      <c r="C30" s="13" t="s">
        <v>163</v>
      </c>
      <c r="D30" s="13"/>
      <c r="E30" s="13"/>
    </row>
    <row r="31" spans="1:5" x14ac:dyDescent="0.3">
      <c r="A31" s="7" t="s">
        <v>164</v>
      </c>
      <c r="B31" s="7" t="s">
        <v>165</v>
      </c>
      <c r="C31" s="11" t="s">
        <v>166</v>
      </c>
      <c r="D31" s="11"/>
      <c r="E31" s="11"/>
    </row>
    <row r="32" spans="1:5" x14ac:dyDescent="0.3">
      <c r="A32" s="7" t="s">
        <v>167</v>
      </c>
      <c r="B32" s="7" t="s">
        <v>165</v>
      </c>
      <c r="C32" s="11" t="s">
        <v>168</v>
      </c>
      <c r="D32" s="11"/>
      <c r="E32" s="11"/>
    </row>
    <row r="33" spans="1:5" x14ac:dyDescent="0.3">
      <c r="A33" s="7" t="s">
        <v>169</v>
      </c>
      <c r="B33" s="7" t="s">
        <v>170</v>
      </c>
      <c r="C33" s="11" t="s">
        <v>171</v>
      </c>
      <c r="D33" s="11"/>
      <c r="E33" s="11"/>
    </row>
    <row r="34" spans="1:5" x14ac:dyDescent="0.3">
      <c r="A34" s="7" t="s">
        <v>172</v>
      </c>
      <c r="B34" s="7" t="s">
        <v>173</v>
      </c>
      <c r="C34" s="11" t="s">
        <v>174</v>
      </c>
      <c r="D34" s="11"/>
      <c r="E34" s="11"/>
    </row>
    <row r="35" spans="1:5" x14ac:dyDescent="0.3">
      <c r="A35" s="7" t="s">
        <v>175</v>
      </c>
      <c r="B35" s="7" t="s">
        <v>176</v>
      </c>
      <c r="C35" s="11" t="s">
        <v>177</v>
      </c>
      <c r="D35" s="11"/>
      <c r="E35" s="11"/>
    </row>
  </sheetData>
  <mergeCells count="11">
    <mergeCell ref="G6:H6"/>
    <mergeCell ref="C31:E31"/>
    <mergeCell ref="C32:E32"/>
    <mergeCell ref="C33:E33"/>
    <mergeCell ref="C34:E34"/>
    <mergeCell ref="C35:E35"/>
    <mergeCell ref="C30:E30"/>
    <mergeCell ref="A1:E1"/>
    <mergeCell ref="B3:E3"/>
    <mergeCell ref="A5:E5"/>
    <mergeCell ref="A29:E2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EEE47-C0C7-4E32-8C68-8E1881FFDED3}">
  <dimension ref="A1:L53"/>
  <sheetViews>
    <sheetView workbookViewId="0">
      <selection activeCell="N16" sqref="N16"/>
    </sheetView>
  </sheetViews>
  <sheetFormatPr defaultRowHeight="14.4" x14ac:dyDescent="0.3"/>
  <cols>
    <col min="2" max="2" width="19.6640625" bestFit="1" customWidth="1"/>
    <col min="3" max="3" width="32.88671875" customWidth="1"/>
    <col min="4" max="4" width="31.109375" bestFit="1" customWidth="1"/>
    <col min="5" max="5" width="35.77734375" customWidth="1"/>
    <col min="6" max="6" width="19.6640625" bestFit="1" customWidth="1"/>
    <col min="7" max="7" width="18" bestFit="1" customWidth="1"/>
    <col min="8" max="8" width="13.109375" bestFit="1" customWidth="1"/>
    <col min="9" max="9" width="26.88671875" customWidth="1"/>
    <col min="12" max="12" width="11.77734375" bestFit="1" customWidth="1"/>
  </cols>
  <sheetData>
    <row r="1" spans="1:12" x14ac:dyDescent="0.3">
      <c r="A1" s="35" t="s">
        <v>178</v>
      </c>
      <c r="B1" s="35"/>
      <c r="C1" s="35"/>
      <c r="D1" s="35"/>
      <c r="E1" s="35"/>
      <c r="F1" s="35"/>
      <c r="G1" s="35"/>
      <c r="H1" s="35"/>
      <c r="I1" s="35"/>
      <c r="J1" s="35"/>
      <c r="K1" s="35"/>
    </row>
    <row r="3" spans="1:12" ht="41.4" customHeight="1" x14ac:dyDescent="0.3">
      <c r="A3" s="2" t="s">
        <v>179</v>
      </c>
      <c r="B3" s="2"/>
      <c r="C3" s="2"/>
      <c r="D3" s="2"/>
      <c r="E3" s="2"/>
      <c r="F3" s="2"/>
      <c r="G3" s="2"/>
      <c r="H3" s="2"/>
      <c r="I3" s="2"/>
      <c r="J3" s="2"/>
      <c r="K3" s="2"/>
    </row>
    <row r="4" spans="1:12" x14ac:dyDescent="0.3">
      <c r="A4" s="35" t="s">
        <v>188</v>
      </c>
      <c r="B4" s="35"/>
      <c r="C4" s="35"/>
      <c r="D4" s="35"/>
      <c r="E4" s="35"/>
      <c r="F4" s="35"/>
      <c r="G4" s="35"/>
      <c r="H4" s="35"/>
      <c r="I4" s="35"/>
    </row>
    <row r="5" spans="1:12" x14ac:dyDescent="0.3">
      <c r="B5" s="17" t="s">
        <v>100</v>
      </c>
      <c r="C5" s="17"/>
      <c r="D5" s="17"/>
      <c r="F5" s="17" t="s">
        <v>187</v>
      </c>
      <c r="G5" s="17"/>
      <c r="H5" s="17"/>
      <c r="I5" s="27" t="s">
        <v>180</v>
      </c>
    </row>
    <row r="6" spans="1:12" x14ac:dyDescent="0.3">
      <c r="B6" s="27" t="s">
        <v>37</v>
      </c>
      <c r="C6" s="27" t="s">
        <v>148</v>
      </c>
      <c r="D6" s="27" t="s">
        <v>149</v>
      </c>
      <c r="F6" s="34" t="s">
        <v>37</v>
      </c>
      <c r="G6" s="27" t="s">
        <v>148</v>
      </c>
      <c r="H6" s="27" t="s">
        <v>149</v>
      </c>
      <c r="I6" s="27" t="s">
        <v>181</v>
      </c>
    </row>
    <row r="7" spans="1:12" x14ac:dyDescent="0.3">
      <c r="B7" s="7" t="s">
        <v>41</v>
      </c>
      <c r="C7" s="7">
        <v>6</v>
      </c>
      <c r="D7" s="7">
        <v>82</v>
      </c>
      <c r="F7" s="7" t="s">
        <v>41</v>
      </c>
      <c r="G7" s="7">
        <v>6</v>
      </c>
      <c r="H7" s="7">
        <v>82</v>
      </c>
      <c r="I7" s="7" t="s">
        <v>182</v>
      </c>
      <c r="K7" s="17" t="s">
        <v>66</v>
      </c>
      <c r="L7" s="17"/>
    </row>
    <row r="8" spans="1:12" x14ac:dyDescent="0.3">
      <c r="B8" s="7" t="s">
        <v>43</v>
      </c>
      <c r="C8" s="7">
        <v>4</v>
      </c>
      <c r="D8" s="7">
        <v>75</v>
      </c>
      <c r="F8" s="7" t="s">
        <v>43</v>
      </c>
      <c r="G8" s="7">
        <v>4</v>
      </c>
      <c r="H8" s="7">
        <v>75</v>
      </c>
      <c r="I8" s="7" t="s">
        <v>182</v>
      </c>
      <c r="K8" s="7" t="s">
        <v>69</v>
      </c>
      <c r="L8" s="7" t="s">
        <v>67</v>
      </c>
    </row>
    <row r="9" spans="1:12" x14ac:dyDescent="0.3">
      <c r="B9" s="7" t="s">
        <v>47</v>
      </c>
      <c r="C9" s="7">
        <v>7</v>
      </c>
      <c r="D9" s="7">
        <v>88</v>
      </c>
      <c r="F9" s="25" t="s">
        <v>44</v>
      </c>
      <c r="G9" s="25">
        <v>5</v>
      </c>
      <c r="H9" s="25"/>
      <c r="I9" s="25" t="s">
        <v>183</v>
      </c>
      <c r="K9" s="7" t="s">
        <v>68</v>
      </c>
      <c r="L9" s="7" t="s">
        <v>70</v>
      </c>
    </row>
    <row r="10" spans="1:12" x14ac:dyDescent="0.3">
      <c r="B10" s="7" t="s">
        <v>48</v>
      </c>
      <c r="C10" s="7">
        <v>8</v>
      </c>
      <c r="D10" s="7">
        <v>91</v>
      </c>
      <c r="F10" s="7" t="s">
        <v>47</v>
      </c>
      <c r="G10" s="7">
        <v>7</v>
      </c>
      <c r="H10" s="7">
        <v>88</v>
      </c>
      <c r="I10" s="7" t="s">
        <v>182</v>
      </c>
    </row>
    <row r="11" spans="1:12" x14ac:dyDescent="0.3">
      <c r="B11" s="7" t="s">
        <v>49</v>
      </c>
      <c r="C11" s="7">
        <v>3</v>
      </c>
      <c r="D11" s="7">
        <v>67</v>
      </c>
      <c r="F11" s="7" t="s">
        <v>48</v>
      </c>
      <c r="G11" s="7">
        <v>8</v>
      </c>
      <c r="H11" s="7">
        <v>91</v>
      </c>
      <c r="I11" s="7" t="s">
        <v>182</v>
      </c>
    </row>
    <row r="12" spans="1:12" x14ac:dyDescent="0.3">
      <c r="B12" s="7" t="s">
        <v>51</v>
      </c>
      <c r="C12" s="7">
        <v>5</v>
      </c>
      <c r="D12" s="7">
        <v>79</v>
      </c>
      <c r="F12" s="7" t="s">
        <v>49</v>
      </c>
      <c r="G12" s="7">
        <v>3</v>
      </c>
      <c r="H12" s="7">
        <v>67</v>
      </c>
      <c r="I12" s="7" t="s">
        <v>182</v>
      </c>
    </row>
    <row r="13" spans="1:12" x14ac:dyDescent="0.3">
      <c r="B13" s="7" t="s">
        <v>52</v>
      </c>
      <c r="C13" s="7">
        <v>6</v>
      </c>
      <c r="D13" s="7">
        <v>84</v>
      </c>
      <c r="F13" s="25" t="s">
        <v>50</v>
      </c>
      <c r="G13" s="25"/>
      <c r="H13" s="25">
        <v>73</v>
      </c>
      <c r="I13" s="25" t="s">
        <v>184</v>
      </c>
    </row>
    <row r="14" spans="1:12" x14ac:dyDescent="0.3">
      <c r="B14" s="7" t="s">
        <v>53</v>
      </c>
      <c r="C14" s="7">
        <v>4</v>
      </c>
      <c r="D14" s="7">
        <v>70</v>
      </c>
      <c r="F14" s="7" t="s">
        <v>51</v>
      </c>
      <c r="G14" s="7">
        <v>5</v>
      </c>
      <c r="H14" s="7">
        <v>79</v>
      </c>
      <c r="I14" s="7" t="s">
        <v>182</v>
      </c>
    </row>
    <row r="15" spans="1:12" x14ac:dyDescent="0.3">
      <c r="B15" s="7" t="s">
        <v>54</v>
      </c>
      <c r="C15" s="7">
        <v>9</v>
      </c>
      <c r="D15" s="7">
        <v>93</v>
      </c>
      <c r="F15" s="7" t="s">
        <v>52</v>
      </c>
      <c r="G15" s="7">
        <v>6</v>
      </c>
      <c r="H15" s="7">
        <v>84</v>
      </c>
      <c r="I15" s="7" t="s">
        <v>182</v>
      </c>
    </row>
    <row r="16" spans="1:12" x14ac:dyDescent="0.3">
      <c r="B16" s="7" t="s">
        <v>55</v>
      </c>
      <c r="C16" s="7">
        <v>3</v>
      </c>
      <c r="D16" s="7">
        <v>66</v>
      </c>
      <c r="F16" s="7" t="s">
        <v>53</v>
      </c>
      <c r="G16" s="7">
        <v>4</v>
      </c>
      <c r="H16" s="7">
        <v>70</v>
      </c>
      <c r="I16" s="7" t="s">
        <v>182</v>
      </c>
    </row>
    <row r="17" spans="1:9" x14ac:dyDescent="0.3">
      <c r="B17" s="7" t="s">
        <v>57</v>
      </c>
      <c r="C17" s="7">
        <v>5</v>
      </c>
      <c r="D17" s="7">
        <v>77</v>
      </c>
      <c r="F17" s="7" t="s">
        <v>54</v>
      </c>
      <c r="G17" s="7">
        <v>9</v>
      </c>
      <c r="H17" s="7">
        <v>93</v>
      </c>
      <c r="I17" s="7" t="s">
        <v>182</v>
      </c>
    </row>
    <row r="18" spans="1:9" x14ac:dyDescent="0.3">
      <c r="B18" s="7" t="s">
        <v>58</v>
      </c>
      <c r="C18" s="7">
        <v>7</v>
      </c>
      <c r="D18" s="7">
        <v>85</v>
      </c>
      <c r="F18" s="7" t="s">
        <v>55</v>
      </c>
      <c r="G18" s="7">
        <v>3</v>
      </c>
      <c r="H18" s="7">
        <v>66</v>
      </c>
      <c r="I18" s="7" t="s">
        <v>182</v>
      </c>
    </row>
    <row r="19" spans="1:9" x14ac:dyDescent="0.3">
      <c r="B19" s="7" t="s">
        <v>59</v>
      </c>
      <c r="C19" s="7">
        <v>4</v>
      </c>
      <c r="D19" s="7">
        <v>72</v>
      </c>
      <c r="F19" s="33" t="s">
        <v>56</v>
      </c>
      <c r="G19" s="33"/>
      <c r="H19" s="33"/>
      <c r="I19" s="33" t="s">
        <v>185</v>
      </c>
    </row>
    <row r="20" spans="1:9" x14ac:dyDescent="0.3">
      <c r="B20" s="7" t="s">
        <v>60</v>
      </c>
      <c r="C20" s="7">
        <v>8</v>
      </c>
      <c r="D20" s="7">
        <v>89</v>
      </c>
      <c r="F20" s="7" t="s">
        <v>57</v>
      </c>
      <c r="G20" s="7">
        <v>5</v>
      </c>
      <c r="H20" s="7">
        <v>77</v>
      </c>
      <c r="I20" s="7" t="s">
        <v>182</v>
      </c>
    </row>
    <row r="21" spans="1:9" x14ac:dyDescent="0.3">
      <c r="B21" s="7" t="s">
        <v>61</v>
      </c>
      <c r="C21" s="7">
        <v>3</v>
      </c>
      <c r="D21" s="7">
        <v>64</v>
      </c>
      <c r="F21" s="7" t="s">
        <v>58</v>
      </c>
      <c r="G21" s="7">
        <v>7</v>
      </c>
      <c r="H21" s="7">
        <v>85</v>
      </c>
      <c r="I21" s="7" t="s">
        <v>182</v>
      </c>
    </row>
    <row r="22" spans="1:9" x14ac:dyDescent="0.3">
      <c r="B22" s="7" t="s">
        <v>62</v>
      </c>
      <c r="C22" s="7">
        <v>6</v>
      </c>
      <c r="D22" s="7">
        <v>78</v>
      </c>
      <c r="F22" s="7" t="s">
        <v>59</v>
      </c>
      <c r="G22" s="7">
        <v>4</v>
      </c>
      <c r="H22" s="7">
        <v>72</v>
      </c>
      <c r="I22" s="7" t="s">
        <v>182</v>
      </c>
    </row>
    <row r="23" spans="1:9" x14ac:dyDescent="0.3">
      <c r="F23" s="7" t="s">
        <v>60</v>
      </c>
      <c r="G23" s="7">
        <v>8</v>
      </c>
      <c r="H23" s="7">
        <v>89</v>
      </c>
      <c r="I23" s="7" t="s">
        <v>182</v>
      </c>
    </row>
    <row r="24" spans="1:9" x14ac:dyDescent="0.3">
      <c r="F24" s="7" t="s">
        <v>61</v>
      </c>
      <c r="G24" s="7">
        <v>3</v>
      </c>
      <c r="H24" s="7">
        <v>64</v>
      </c>
      <c r="I24" s="7" t="s">
        <v>182</v>
      </c>
    </row>
    <row r="25" spans="1:9" x14ac:dyDescent="0.3">
      <c r="F25" s="7" t="s">
        <v>62</v>
      </c>
      <c r="G25" s="7">
        <v>6</v>
      </c>
      <c r="H25" s="7">
        <v>78</v>
      </c>
      <c r="I25" s="7" t="s">
        <v>182</v>
      </c>
    </row>
    <row r="26" spans="1:9" x14ac:dyDescent="0.3">
      <c r="F26" s="33" t="s">
        <v>63</v>
      </c>
      <c r="G26" s="33">
        <v>10</v>
      </c>
      <c r="H26" s="33">
        <v>115</v>
      </c>
      <c r="I26" s="33" t="s">
        <v>186</v>
      </c>
    </row>
    <row r="28" spans="1:9" x14ac:dyDescent="0.3">
      <c r="A28" s="35" t="s">
        <v>257</v>
      </c>
      <c r="B28" s="35"/>
      <c r="C28" s="35"/>
      <c r="D28" s="35"/>
      <c r="E28" s="35"/>
      <c r="F28" s="35"/>
      <c r="G28" s="35"/>
      <c r="H28" s="35"/>
      <c r="I28" s="35"/>
    </row>
    <row r="30" spans="1:9" x14ac:dyDescent="0.3">
      <c r="B30" s="17" t="s">
        <v>189</v>
      </c>
      <c r="C30" s="17"/>
      <c r="D30" s="17"/>
      <c r="F30" s="36" t="s">
        <v>199</v>
      </c>
      <c r="G30" s="37"/>
      <c r="H30" s="37"/>
      <c r="I30" s="38"/>
    </row>
    <row r="31" spans="1:9" x14ac:dyDescent="0.3">
      <c r="B31" s="27" t="s">
        <v>103</v>
      </c>
      <c r="C31" s="27" t="s">
        <v>190</v>
      </c>
      <c r="D31" s="27" t="s">
        <v>180</v>
      </c>
      <c r="F31" s="27" t="s">
        <v>103</v>
      </c>
      <c r="G31" s="27" t="s">
        <v>190</v>
      </c>
      <c r="H31" s="17" t="s">
        <v>180</v>
      </c>
      <c r="I31" s="17"/>
    </row>
    <row r="32" spans="1:9" x14ac:dyDescent="0.3">
      <c r="B32" s="7" t="s">
        <v>191</v>
      </c>
      <c r="C32" s="7">
        <f>COUNT(C7:C22)</f>
        <v>16</v>
      </c>
      <c r="D32" s="7" t="s">
        <v>195</v>
      </c>
      <c r="F32" s="7" t="s">
        <v>191</v>
      </c>
      <c r="G32" s="7" cm="1">
        <f t="array" ref="G32">SUMPRODUCT((G7:G26&lt;&gt;"")*(H7:H26&lt;&gt;"")*1)</f>
        <v>17</v>
      </c>
      <c r="H32" s="8" t="s">
        <v>258</v>
      </c>
      <c r="I32" s="8"/>
    </row>
    <row r="33" spans="2:9" x14ac:dyDescent="0.3">
      <c r="B33" s="7" t="s">
        <v>192</v>
      </c>
      <c r="C33" s="30">
        <f>CORREL(C7:C22,D7:D22)</f>
        <v>0.97523936179800441</v>
      </c>
      <c r="D33" s="7" t="s">
        <v>196</v>
      </c>
      <c r="F33" s="7" t="s">
        <v>192</v>
      </c>
      <c r="G33" s="30">
        <f>CORREL(G7:G26,H7:H26)</f>
        <v>0.95393649406590186</v>
      </c>
      <c r="H33" s="8" t="s">
        <v>201</v>
      </c>
      <c r="I33" s="8"/>
    </row>
    <row r="34" spans="2:9" x14ac:dyDescent="0.3">
      <c r="B34" s="7" t="s">
        <v>193</v>
      </c>
      <c r="C34" s="30">
        <f>POWER(C33,2)</f>
        <v>0.95109181280017896</v>
      </c>
      <c r="D34" s="7" t="s">
        <v>202</v>
      </c>
      <c r="F34" s="7" t="s">
        <v>193</v>
      </c>
      <c r="G34" s="30">
        <f>POWER(G33,2)</f>
        <v>0.90999483471074438</v>
      </c>
      <c r="H34" s="8" t="s">
        <v>202</v>
      </c>
      <c r="I34" s="8"/>
    </row>
    <row r="35" spans="2:9" x14ac:dyDescent="0.3">
      <c r="B35" s="7" t="s">
        <v>194</v>
      </c>
      <c r="C35" s="7" t="s">
        <v>197</v>
      </c>
      <c r="D35" s="7" t="s">
        <v>198</v>
      </c>
      <c r="F35" s="7" t="s">
        <v>194</v>
      </c>
      <c r="G35" s="31" t="s">
        <v>200</v>
      </c>
      <c r="H35" s="8" t="s">
        <v>198</v>
      </c>
      <c r="I35" s="8"/>
    </row>
    <row r="37" spans="2:9" x14ac:dyDescent="0.3">
      <c r="B37" s="17" t="s">
        <v>203</v>
      </c>
      <c r="C37" s="17"/>
      <c r="D37" s="17"/>
      <c r="E37" s="17"/>
      <c r="F37" s="17"/>
      <c r="G37" s="17"/>
      <c r="H37" s="17"/>
      <c r="I37" s="17"/>
    </row>
    <row r="38" spans="2:9" x14ac:dyDescent="0.3">
      <c r="B38" s="6" t="s">
        <v>204</v>
      </c>
      <c r="C38" s="6"/>
      <c r="D38" s="17" t="s">
        <v>205</v>
      </c>
      <c r="E38" s="17"/>
      <c r="F38" s="17" t="s">
        <v>206</v>
      </c>
      <c r="G38" s="17"/>
      <c r="H38" s="17"/>
      <c r="I38" s="17"/>
    </row>
    <row r="39" spans="2:9" x14ac:dyDescent="0.3">
      <c r="B39" s="6" t="s">
        <v>207</v>
      </c>
      <c r="C39" s="6"/>
      <c r="D39" s="6" t="s">
        <v>213</v>
      </c>
      <c r="E39" s="6"/>
      <c r="F39" s="6" t="s">
        <v>219</v>
      </c>
      <c r="G39" s="6"/>
      <c r="H39" s="6"/>
      <c r="I39" s="6"/>
    </row>
    <row r="40" spans="2:9" x14ac:dyDescent="0.3">
      <c r="B40" s="6" t="s">
        <v>208</v>
      </c>
      <c r="C40" s="6"/>
      <c r="D40" s="6" t="s">
        <v>214</v>
      </c>
      <c r="E40" s="6"/>
      <c r="F40" s="6" t="s">
        <v>220</v>
      </c>
      <c r="G40" s="6"/>
      <c r="H40" s="6"/>
      <c r="I40" s="6"/>
    </row>
    <row r="41" spans="2:9" x14ac:dyDescent="0.3">
      <c r="B41" s="6" t="s">
        <v>209</v>
      </c>
      <c r="C41" s="6"/>
      <c r="D41" s="6" t="s">
        <v>215</v>
      </c>
      <c r="E41" s="6"/>
      <c r="F41" s="6" t="s">
        <v>221</v>
      </c>
      <c r="G41" s="6"/>
      <c r="H41" s="6"/>
      <c r="I41" s="6"/>
    </row>
    <row r="42" spans="2:9" x14ac:dyDescent="0.3">
      <c r="B42" s="6" t="s">
        <v>210</v>
      </c>
      <c r="C42" s="6"/>
      <c r="D42" s="6" t="s">
        <v>216</v>
      </c>
      <c r="E42" s="6"/>
      <c r="F42" s="6" t="s">
        <v>222</v>
      </c>
      <c r="G42" s="6"/>
      <c r="H42" s="6"/>
      <c r="I42" s="6"/>
    </row>
    <row r="43" spans="2:9" x14ac:dyDescent="0.3">
      <c r="B43" s="6" t="s">
        <v>211</v>
      </c>
      <c r="C43" s="6"/>
      <c r="D43" s="6" t="s">
        <v>217</v>
      </c>
      <c r="E43" s="6"/>
      <c r="F43" s="6" t="s">
        <v>223</v>
      </c>
      <c r="G43" s="6"/>
      <c r="H43" s="6"/>
      <c r="I43" s="6"/>
    </row>
    <row r="44" spans="2:9" x14ac:dyDescent="0.3">
      <c r="B44" s="6" t="s">
        <v>212</v>
      </c>
      <c r="C44" s="6"/>
      <c r="D44" s="6" t="s">
        <v>218</v>
      </c>
      <c r="E44" s="6"/>
      <c r="F44" s="6" t="s">
        <v>224</v>
      </c>
      <c r="G44" s="6"/>
      <c r="H44" s="6"/>
      <c r="I44" s="6"/>
    </row>
    <row r="47" spans="2:9" x14ac:dyDescent="0.3">
      <c r="B47" s="17" t="s">
        <v>225</v>
      </c>
      <c r="C47" s="17"/>
      <c r="D47" s="17"/>
      <c r="E47" s="17"/>
    </row>
    <row r="48" spans="2:9" x14ac:dyDescent="0.3">
      <c r="B48" s="17" t="s">
        <v>99</v>
      </c>
      <c r="C48" s="17"/>
      <c r="D48" s="17" t="s">
        <v>14</v>
      </c>
      <c r="E48" s="17"/>
    </row>
    <row r="49" spans="2:5" x14ac:dyDescent="0.3">
      <c r="B49" s="6" t="s">
        <v>226</v>
      </c>
      <c r="C49" s="6"/>
      <c r="D49" s="6" t="s">
        <v>235</v>
      </c>
      <c r="E49" s="6"/>
    </row>
    <row r="50" spans="2:5" x14ac:dyDescent="0.3">
      <c r="B50" s="6" t="s">
        <v>227</v>
      </c>
      <c r="C50" s="6"/>
      <c r="D50" s="6" t="s">
        <v>231</v>
      </c>
      <c r="E50" s="6"/>
    </row>
    <row r="51" spans="2:5" x14ac:dyDescent="0.3">
      <c r="B51" s="6" t="s">
        <v>228</v>
      </c>
      <c r="C51" s="6"/>
      <c r="D51" s="6" t="s">
        <v>232</v>
      </c>
      <c r="E51" s="6"/>
    </row>
    <row r="52" spans="2:5" x14ac:dyDescent="0.3">
      <c r="B52" s="6" t="s">
        <v>229</v>
      </c>
      <c r="C52" s="6"/>
      <c r="D52" s="6" t="s">
        <v>233</v>
      </c>
      <c r="E52" s="6"/>
    </row>
    <row r="53" spans="2:5" x14ac:dyDescent="0.3">
      <c r="B53" s="6" t="s">
        <v>230</v>
      </c>
      <c r="C53" s="6"/>
      <c r="D53" s="6" t="s">
        <v>234</v>
      </c>
      <c r="E53" s="6"/>
    </row>
  </sheetData>
  <mergeCells count="49">
    <mergeCell ref="B52:C52"/>
    <mergeCell ref="B53:C53"/>
    <mergeCell ref="D49:E49"/>
    <mergeCell ref="D50:E50"/>
    <mergeCell ref="D51:E51"/>
    <mergeCell ref="D52:E52"/>
    <mergeCell ref="D53:E53"/>
    <mergeCell ref="B47:E47"/>
    <mergeCell ref="D48:E48"/>
    <mergeCell ref="B48:C48"/>
    <mergeCell ref="B49:C49"/>
    <mergeCell ref="B50:C50"/>
    <mergeCell ref="B51:C51"/>
    <mergeCell ref="D44:E44"/>
    <mergeCell ref="F39:I39"/>
    <mergeCell ref="F40:I40"/>
    <mergeCell ref="F41:I41"/>
    <mergeCell ref="F42:I42"/>
    <mergeCell ref="F43:I43"/>
    <mergeCell ref="F44:I44"/>
    <mergeCell ref="B41:C41"/>
    <mergeCell ref="B42:C42"/>
    <mergeCell ref="B43:C43"/>
    <mergeCell ref="B44:C44"/>
    <mergeCell ref="D39:E39"/>
    <mergeCell ref="D40:E40"/>
    <mergeCell ref="D41:E41"/>
    <mergeCell ref="D42:E42"/>
    <mergeCell ref="D43:E43"/>
    <mergeCell ref="B37:I37"/>
    <mergeCell ref="B38:C38"/>
    <mergeCell ref="D38:E38"/>
    <mergeCell ref="F38:I38"/>
    <mergeCell ref="B39:C39"/>
    <mergeCell ref="B40:C40"/>
    <mergeCell ref="B30:D30"/>
    <mergeCell ref="H32:I32"/>
    <mergeCell ref="H33:I33"/>
    <mergeCell ref="H34:I34"/>
    <mergeCell ref="H35:I35"/>
    <mergeCell ref="H31:I31"/>
    <mergeCell ref="F30:I30"/>
    <mergeCell ref="A1:K1"/>
    <mergeCell ref="A3:K3"/>
    <mergeCell ref="B5:D5"/>
    <mergeCell ref="F5:H5"/>
    <mergeCell ref="A4:I4"/>
    <mergeCell ref="A28:I28"/>
    <mergeCell ref="K7:L7"/>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3EDF0-49C8-4C72-AE11-7215FFA057CA}">
  <dimension ref="A1:B32"/>
  <sheetViews>
    <sheetView topLeftCell="A14" workbookViewId="0">
      <selection activeCell="C24" sqref="C24"/>
    </sheetView>
  </sheetViews>
  <sheetFormatPr defaultRowHeight="14.4" x14ac:dyDescent="0.3"/>
  <sheetData>
    <row r="1" spans="1:2" x14ac:dyDescent="0.3">
      <c r="A1" t="s">
        <v>236</v>
      </c>
    </row>
    <row r="2" spans="1:2" x14ac:dyDescent="0.3">
      <c r="A2" t="s">
        <v>237</v>
      </c>
    </row>
    <row r="4" spans="1:2" x14ac:dyDescent="0.3">
      <c r="A4" t="s">
        <v>238</v>
      </c>
    </row>
    <row r="5" spans="1:2" x14ac:dyDescent="0.3">
      <c r="A5" t="s">
        <v>239</v>
      </c>
      <c r="B5" t="s">
        <v>240</v>
      </c>
    </row>
    <row r="8" spans="1:2" x14ac:dyDescent="0.3">
      <c r="A8" t="s">
        <v>241</v>
      </c>
      <c r="B8" t="s">
        <v>242</v>
      </c>
    </row>
    <row r="11" spans="1:2" x14ac:dyDescent="0.3">
      <c r="A11" t="s">
        <v>243</v>
      </c>
      <c r="B11" t="s">
        <v>244</v>
      </c>
    </row>
    <row r="14" spans="1:2" x14ac:dyDescent="0.3">
      <c r="A14" t="s">
        <v>245</v>
      </c>
      <c r="B14" t="s">
        <v>246</v>
      </c>
    </row>
    <row r="17" spans="1:2" x14ac:dyDescent="0.3">
      <c r="A17" t="s">
        <v>247</v>
      </c>
      <c r="B17" t="s">
        <v>248</v>
      </c>
    </row>
    <row r="20" spans="1:2" x14ac:dyDescent="0.3">
      <c r="A20" t="s">
        <v>249</v>
      </c>
      <c r="B20" t="s">
        <v>250</v>
      </c>
    </row>
    <row r="23" spans="1:2" x14ac:dyDescent="0.3">
      <c r="A23" t="s">
        <v>251</v>
      </c>
      <c r="B23" t="s">
        <v>252</v>
      </c>
    </row>
    <row r="27" spans="1:2" x14ac:dyDescent="0.3">
      <c r="A27" t="s">
        <v>253</v>
      </c>
    </row>
    <row r="28" spans="1:2" x14ac:dyDescent="0.3">
      <c r="A28" t="s">
        <v>254</v>
      </c>
    </row>
    <row r="30" spans="1:2" x14ac:dyDescent="0.3">
      <c r="A30" t="s">
        <v>255</v>
      </c>
    </row>
    <row r="32" spans="1:2" x14ac:dyDescent="0.3">
      <c r="A32" t="s">
        <v>256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Overview</vt:lpstr>
      <vt:lpstr>Univariate Raw</vt:lpstr>
      <vt:lpstr>Univariate Clean</vt:lpstr>
      <vt:lpstr>Bivariate Raw</vt:lpstr>
      <vt:lpstr>Bivariate Cleaned</vt:lpstr>
      <vt:lpstr>References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leih Torralba</dc:creator>
  <cp:lastModifiedBy>leih Torralba</cp:lastModifiedBy>
  <dcterms:created xsi:type="dcterms:W3CDTF">2026-03-22T10:05:18Z</dcterms:created>
  <dcterms:modified xsi:type="dcterms:W3CDTF">2026-03-22T12:00:07Z</dcterms:modified>
</cp:coreProperties>
</file>